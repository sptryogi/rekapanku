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0B6586DB-2134-4DB5-BF19-F740E38E0507}" xr6:coauthVersionLast="47" xr6:coauthVersionMax="47" xr10:uidLastSave="{00000000-0000-0000-0000-000000000000}"/>
  <bookViews>
    <workbookView xWindow="3270" yWindow="2535" windowWidth="15375" windowHeight="7875" xr2:uid="{18B9A474-A199-46A4-8A04-E0A129F1C44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15" i="1" l="1"/>
  <c r="F314" i="1"/>
  <c r="F313" i="1"/>
  <c r="F312" i="1"/>
  <c r="F311" i="1"/>
  <c r="F310" i="1"/>
  <c r="F309" i="1"/>
  <c r="F308" i="1"/>
  <c r="F307" i="1"/>
  <c r="F306" i="1"/>
  <c r="F305" i="1"/>
  <c r="F304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2" i="1"/>
  <c r="F251" i="1"/>
  <c r="F250" i="1"/>
  <c r="F249" i="1"/>
  <c r="F248" i="1"/>
  <c r="F247" i="1"/>
  <c r="F231" i="1"/>
  <c r="F230" i="1"/>
  <c r="F229" i="1"/>
  <c r="F228" i="1"/>
  <c r="F227" i="1"/>
  <c r="F226" i="1"/>
  <c r="F225" i="1"/>
  <c r="F200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48" i="1"/>
  <c r="F47" i="1"/>
  <c r="F46" i="1"/>
  <c r="F43" i="1"/>
  <c r="F42" i="1"/>
  <c r="F41" i="1"/>
  <c r="F38" i="1"/>
  <c r="F37" i="1"/>
  <c r="F36" i="1"/>
  <c r="F33" i="1"/>
  <c r="F32" i="1"/>
  <c r="F31" i="1"/>
  <c r="F28" i="1"/>
  <c r="F27" i="1"/>
  <c r="F26" i="1"/>
  <c r="F24" i="1"/>
  <c r="F23" i="1"/>
  <c r="F22" i="1"/>
  <c r="F21" i="1"/>
  <c r="F20" i="1"/>
  <c r="F19" i="1"/>
  <c r="F18" i="1"/>
  <c r="F17" i="1"/>
  <c r="F16" i="1"/>
  <c r="F15" i="1"/>
  <c r="F14" i="1"/>
  <c r="F13" i="1"/>
  <c r="F8" i="1"/>
  <c r="F7" i="1"/>
  <c r="F6" i="1"/>
  <c r="F5" i="1"/>
</calcChain>
</file>

<file path=xl/sharedStrings.xml><?xml version="1.0" encoding="utf-8"?>
<sst xmlns="http://schemas.openxmlformats.org/spreadsheetml/2006/main" count="824" uniqueCount="275">
  <si>
    <t>ALQURAN SAKU RESLETING QURAN MINI TERJEMAHAN | QURAN CANTIK | QURAN SAKU</t>
  </si>
  <si>
    <t>Juz Amma Hafazan Perkata Latin AlQosbah praktis</t>
  </si>
  <si>
    <t>Buku Pledoi Pertamina Untung Karen Agustiawan Buntung</t>
  </si>
  <si>
    <t>AL QUR'AN CUSTOM NAMA FOTO DI COVER SISIPAN ACARA TASYAKUR TAHLIL YASIN</t>
  </si>
  <si>
    <t>A5 HVS AL AQEEL</t>
  </si>
  <si>
    <t>Custom sisipan</t>
  </si>
  <si>
    <t>Custom Cover</t>
  </si>
  <si>
    <t>Custom Sisipan+Cover</t>
  </si>
  <si>
    <t>Custom sisipan 2lbr</t>
  </si>
  <si>
    <t>A5 HVS AL QUDDUS</t>
  </si>
  <si>
    <t>JUZ'AMMA HAFAZAN</t>
  </si>
  <si>
    <t xml:space="preserve">A5 KK AL AQEEL </t>
  </si>
  <si>
    <t>A6 HVS AL AQEEL</t>
  </si>
  <si>
    <t>Alquran Al Aqeel A5 Kertas Koran Tanpa Terjemahan Wakaf Ibtida</t>
  </si>
  <si>
    <t>Merah</t>
  </si>
  <si>
    <t xml:space="preserve">A5 </t>
  </si>
  <si>
    <t>Satuan</t>
  </si>
  <si>
    <t>Paket 3</t>
  </si>
  <si>
    <t>Paket 5</t>
  </si>
  <si>
    <t>Paket 7</t>
  </si>
  <si>
    <t>B5</t>
  </si>
  <si>
    <t xml:space="preserve">Biru </t>
  </si>
  <si>
    <t>Hijau</t>
  </si>
  <si>
    <t xml:space="preserve">Cokelat </t>
  </si>
  <si>
    <t>Random</t>
  </si>
  <si>
    <t>AL QURAN LATIN TERJEMAHAN DAN TADJWID MUSHAF AL FIKRAH KERTAS HVS</t>
  </si>
  <si>
    <t>Hitam</t>
  </si>
  <si>
    <t>Al Quran Wakaf Saku A6 Al Aqeel HVS Paket Wakaf</t>
  </si>
  <si>
    <t>Pink</t>
  </si>
  <si>
    <t>A6</t>
  </si>
  <si>
    <t>Ungu</t>
  </si>
  <si>
    <t>Paket Hemat Paket Al Quran | AQ Al Aqeel Wakaf Kerta koran Non Terjemah</t>
  </si>
  <si>
    <t>Paket 10</t>
  </si>
  <si>
    <t>Al Quran Gold Silver Al Aqeel Besar Sedang Kecil</t>
  </si>
  <si>
    <t>Gold</t>
  </si>
  <si>
    <t>A4</t>
  </si>
  <si>
    <t xml:space="preserve">A6 </t>
  </si>
  <si>
    <t>A7</t>
  </si>
  <si>
    <t>Silver</t>
  </si>
  <si>
    <t>BELLA SQUARE PREMIUM | HIJAB SEGIEMPAT | VARIASI WARNA | MURAH FASHION MUSLIM</t>
  </si>
  <si>
    <t>BLACK</t>
  </si>
  <si>
    <t>WHITE</t>
  </si>
  <si>
    <t>FRAFUCINO</t>
  </si>
  <si>
    <t>MILO</t>
  </si>
  <si>
    <t>KHAKI</t>
  </si>
  <si>
    <t>DENIM</t>
  </si>
  <si>
    <t>JADE</t>
  </si>
  <si>
    <t>FOREST</t>
  </si>
  <si>
    <t>BIREL</t>
  </si>
  <si>
    <t>BROKEN WHITE</t>
  </si>
  <si>
    <t>TERACOTA</t>
  </si>
  <si>
    <t>LIGHT GREY</t>
  </si>
  <si>
    <t>SAGE</t>
  </si>
  <si>
    <t>WARDAH</t>
  </si>
  <si>
    <t>BABY BLUE</t>
  </si>
  <si>
    <t>NUDE</t>
  </si>
  <si>
    <t>GUAVA</t>
  </si>
  <si>
    <t>TOSCA</t>
  </si>
  <si>
    <t>CHOCO MILK</t>
  </si>
  <si>
    <t>PEACH</t>
  </si>
  <si>
    <t>ARMY</t>
  </si>
  <si>
    <t>BABY PINK</t>
  </si>
  <si>
    <t>BURGUNDY</t>
  </si>
  <si>
    <t>CANARY</t>
  </si>
  <si>
    <t>DARK CHOCO</t>
  </si>
  <si>
    <t>DARK GRAY</t>
  </si>
  <si>
    <t>DUSTY PINK</t>
  </si>
  <si>
    <t>FANTA</t>
  </si>
  <si>
    <t>GREEN BOTTLE</t>
  </si>
  <si>
    <t>MAROON</t>
  </si>
  <si>
    <t>RED</t>
  </si>
  <si>
    <t>MOCCA</t>
  </si>
  <si>
    <t>NAVY</t>
  </si>
  <si>
    <t>CREAM</t>
  </si>
  <si>
    <t>OLIVE</t>
  </si>
  <si>
    <t>TARO</t>
  </si>
  <si>
    <t>BUKU CERITA ANAK SERI BUDI PEKERTI KOBER TK SD</t>
  </si>
  <si>
    <t>Jujur</t>
  </si>
  <si>
    <t>Rajin</t>
  </si>
  <si>
    <t>Peduli</t>
  </si>
  <si>
    <t>Sopan</t>
  </si>
  <si>
    <t>Baik dan Buruk</t>
  </si>
  <si>
    <t xml:space="preserve">Berani </t>
  </si>
  <si>
    <t>1set (6 Judul)</t>
  </si>
  <si>
    <t>AL QURAN AL QUDDUS SAKU A7 KULIT RESLETING</t>
  </si>
  <si>
    <t>Putih</t>
  </si>
  <si>
    <t>Juz'amma Edisi Terbaru Lebih Lengkap Terjemahan Tadjwid Asmaul Husna Soft Cover Kertas Koran</t>
  </si>
  <si>
    <t>HIJAB PASMINA KAOS RAYON COOL TECH BY DAMA</t>
  </si>
  <si>
    <t>Army</t>
  </si>
  <si>
    <t>Milo</t>
  </si>
  <si>
    <t>Natural</t>
  </si>
  <si>
    <t>Mocca</t>
  </si>
  <si>
    <t>Dark Gray</t>
  </si>
  <si>
    <t>Dusty Pink</t>
  </si>
  <si>
    <t>Soft Purple</t>
  </si>
  <si>
    <t>Sage</t>
  </si>
  <si>
    <t xml:space="preserve">Black </t>
  </si>
  <si>
    <t>Grey</t>
  </si>
  <si>
    <t>Dusty Peach</t>
  </si>
  <si>
    <t>Frappucino</t>
  </si>
  <si>
    <t>Khaki</t>
  </si>
  <si>
    <t>Cream latte</t>
  </si>
  <si>
    <t>Soft Dusty</t>
  </si>
  <si>
    <t>Coksu</t>
  </si>
  <si>
    <t>Wardah</t>
  </si>
  <si>
    <t>Navy</t>
  </si>
  <si>
    <t>Soft Beige</t>
  </si>
  <si>
    <t>Ash Cream</t>
  </si>
  <si>
    <t>PASHMINA HOODIE CERUTY BABY DOLL BY DAMA</t>
  </si>
  <si>
    <t>Hijau Wardah</t>
  </si>
  <si>
    <t>Silver/abu muda</t>
  </si>
  <si>
    <t>Beige</t>
  </si>
  <si>
    <t>Taro</t>
  </si>
  <si>
    <t>Salem</t>
  </si>
  <si>
    <t>Abu tua</t>
  </si>
  <si>
    <t>Olive</t>
  </si>
  <si>
    <t>Broken white</t>
  </si>
  <si>
    <t>Maroon</t>
  </si>
  <si>
    <t>Dusty Purple</t>
  </si>
  <si>
    <t>Lavender</t>
  </si>
  <si>
    <t>Cream</t>
  </si>
  <si>
    <t>Denim</t>
  </si>
  <si>
    <t>Burgundy</t>
  </si>
  <si>
    <t>Mahogani</t>
  </si>
  <si>
    <t>PASHMINA OVAL CERUTY BABYDOLL PREMIUM</t>
  </si>
  <si>
    <t>BW</t>
  </si>
  <si>
    <t>Abu Tua</t>
  </si>
  <si>
    <t>ABU MUDA</t>
  </si>
  <si>
    <t>MAHOGANI</t>
  </si>
  <si>
    <t>DUSTY PURPLE</t>
  </si>
  <si>
    <t>COKSU</t>
  </si>
  <si>
    <t>ALQURAN SAKU A6 EDISI TAHLIL TERBARU</t>
  </si>
  <si>
    <t>Biru</t>
  </si>
  <si>
    <t>Cokelat</t>
  </si>
  <si>
    <t>Custom Jacket</t>
  </si>
  <si>
    <t>AL QUR'AN TERJEMAHAN AL ALEEM WAQAF IBTIDA</t>
  </si>
  <si>
    <t>Mushaf Al-Qur'an Al Quddus Tanpa terjemahan uk A5 DAN A4</t>
  </si>
  <si>
    <t>A5</t>
  </si>
  <si>
    <t>AlQuran Mushaf Al Aqeel B5 HVS Tanpa Terjemahan</t>
  </si>
  <si>
    <t>Coklat</t>
  </si>
  <si>
    <t>SERI DONGENG BINATANG | DONGENG FABEL | DONGENG BINATANG MENARIK</t>
  </si>
  <si>
    <t>Dongeng Buaya</t>
  </si>
  <si>
    <t>Dongeng Kelinci</t>
  </si>
  <si>
    <t>Dongeng Katak</t>
  </si>
  <si>
    <t>Dongeng Kancil</t>
  </si>
  <si>
    <t>Dongeng Harimau</t>
  </si>
  <si>
    <t>Dongeng Gajah</t>
  </si>
  <si>
    <t>Bundling 6pcs</t>
  </si>
  <si>
    <t>Buku Cerita Seri Terladan Nabi Seri 6 Untuk Anak Anak</t>
  </si>
  <si>
    <t>Nabi Adam AS</t>
  </si>
  <si>
    <t>Nabi Idris AS</t>
  </si>
  <si>
    <t>Nabi Nuh AS</t>
  </si>
  <si>
    <t>Nabi Ibrahim AS</t>
  </si>
  <si>
    <t>Nabi Ismail AS</t>
  </si>
  <si>
    <t>Nabi Musa AS</t>
  </si>
  <si>
    <t>Bundling</t>
  </si>
  <si>
    <t>YASIN DAN TAHLIL DAMA SOFT COVER</t>
  </si>
  <si>
    <t>Template 1</t>
  </si>
  <si>
    <t>Template 2</t>
  </si>
  <si>
    <t>Template 3</t>
  </si>
  <si>
    <t>Template 4</t>
  </si>
  <si>
    <t>Template 5</t>
  </si>
  <si>
    <t>Template 6</t>
  </si>
  <si>
    <t>Template 7</t>
  </si>
  <si>
    <t>BUKU CERITA SERI CERITA RAKYAT | NUSANTARA</t>
  </si>
  <si>
    <t>Dewi Anjani</t>
  </si>
  <si>
    <t>Legenda Raja Ampat</t>
  </si>
  <si>
    <t>Malin Kundang</t>
  </si>
  <si>
    <t>Kisah Dewi Sri</t>
  </si>
  <si>
    <t>Mentiko Betuah</t>
  </si>
  <si>
    <t>Timun Mas &amp; Buto Ijo</t>
  </si>
  <si>
    <t>AL QUR'AN TADJWID DAN TERJEMAHAN TAFSIR ASBABUNNUZUL WAQAF IBTIDA MUSHAF MUMTAAZ</t>
  </si>
  <si>
    <t>Juz'amma Edisi Terbaru Lebih Lengkap Terjemahan Tajwid Asmaul Husnah kertas HVS</t>
  </si>
  <si>
    <t>Kamus Bergambar Bilingual TK SD PAUD</t>
  </si>
  <si>
    <t>AL QURAN MUSHAF AL ALEEM A6 SAKU</t>
  </si>
  <si>
    <t>HIJAB PAYET CANTIK | PARIS JEPANG | hijab kekinian</t>
  </si>
  <si>
    <t>TERBARU KOMIK SERI PAHLAWAN INDONESIA | BUKU PAHLAWAN</t>
  </si>
  <si>
    <t>R.A Kartini</t>
  </si>
  <si>
    <t>Cut Nyak Dien</t>
  </si>
  <si>
    <t>Pangeran Antasari</t>
  </si>
  <si>
    <t>Untung Surapati</t>
  </si>
  <si>
    <t>Soetan Sjahrir</t>
  </si>
  <si>
    <t>Kaptain Pattimura</t>
  </si>
  <si>
    <t>BUNDLING 6 JUDUL</t>
  </si>
  <si>
    <t>HARMONI NUSANTARA | LAGU NASIONAL DAN LAGU DAERAH INDONESIA</t>
  </si>
  <si>
    <t>Hangtag Terima Kasih (Free design request tema chat toko)</t>
  </si>
  <si>
    <t>200 klik 200</t>
  </si>
  <si>
    <t>300 klik 300</t>
  </si>
  <si>
    <t>400 klik 400</t>
  </si>
  <si>
    <t>500 klik 500</t>
  </si>
  <si>
    <t>&gt; 500 klik sesuaikan</t>
  </si>
  <si>
    <t>Hangtag Custom Baju Sepatu Tas (Free Design chat Toko)</t>
  </si>
  <si>
    <t>600pcs klik 600, Laminasi gloss 1sisi</t>
  </si>
  <si>
    <t>600pcs klik 600, Laminasi doff 1sisi</t>
  </si>
  <si>
    <t>600pcs klik 600, Laminasi gloss 2sisi</t>
  </si>
  <si>
    <t>600pcs klik 600, Laminasi doff 2sisi</t>
  </si>
  <si>
    <t>600pcs klik 600, Tanpa Laminasi 1sisi</t>
  </si>
  <si>
    <t>600pcs klik 600, Tanpa Laminasi 2sisi</t>
  </si>
  <si>
    <t>1200pcs klik 1200, Laminasi gloss 1sisi</t>
  </si>
  <si>
    <t>1200pcs klik 1200, Laminasi doff 1sisi</t>
  </si>
  <si>
    <t>1200pcs klik 1200, Laminasi gloss 2sisi</t>
  </si>
  <si>
    <t>1200pcs klik 1200, Laminasi doff 2sisi</t>
  </si>
  <si>
    <t>1200pcs klik 1200, Tanpa Laminasi 1sisi</t>
  </si>
  <si>
    <t>1200pcs klik 1200, Tanpa Laminasi 2sisi</t>
  </si>
  <si>
    <t>1800pcs klik 1800, Laminasi gloss 1sisi</t>
  </si>
  <si>
    <t>1800pcs klik 1800, Laminasi doff 1sisi</t>
  </si>
  <si>
    <t>1800pcs klik 1800, Laminasi gloss 2sisi</t>
  </si>
  <si>
    <t>1800pcs klik 1800, Laminasi doff 2sisi</t>
  </si>
  <si>
    <t>1800pcs klik 1800, Tanpa Laminasi 1sisi</t>
  </si>
  <si>
    <t>1800pcs klik 1800, Tanpa Laminasi 2sisi</t>
  </si>
  <si>
    <t>2400pcs klik 2400, Laminasi gloss 1sisi</t>
  </si>
  <si>
    <t>2400pcs klik 2400, Laminasi doff 1sisi</t>
  </si>
  <si>
    <t>2400pcs klik 2400, Laminasi gloss 2sisi</t>
  </si>
  <si>
    <t>2400pcs klik 2400, Laminasi doff 2sisi</t>
  </si>
  <si>
    <t>2400pcs klik 2400, Tanpa Laminasi 1sisi</t>
  </si>
  <si>
    <t>2400pcs klik 2400, Tanpa Laminasi 2sisi</t>
  </si>
  <si>
    <t>&gt;2400pcs sesuaikan, Laminasi gloss 1sisi</t>
  </si>
  <si>
    <t>&gt;2400pcs sesuaikan, Laminasi doff 1sisi</t>
  </si>
  <si>
    <t>&gt;2400pcs sesuaikan, Laminasi gloss 2sisi</t>
  </si>
  <si>
    <t>&gt;2400pcs sesuaikan Laminasi doff 2sisi</t>
  </si>
  <si>
    <t>&gt;2400pcs sesuaikan, Tanpa Laminasi 1sisi</t>
  </si>
  <si>
    <t>&gt;2400pcs sesuaikan, Tanpa Laminasi 2sisi</t>
  </si>
  <si>
    <t>HIJAB BERGO JERSEY BY DAMA | KERUDUNG INSTAN</t>
  </si>
  <si>
    <t>Black</t>
  </si>
  <si>
    <t>Frappuccino</t>
  </si>
  <si>
    <t>Matcha</t>
  </si>
  <si>
    <t>Coffe</t>
  </si>
  <si>
    <t>Gray</t>
  </si>
  <si>
    <t>Putih BW</t>
  </si>
  <si>
    <t>Maaroon</t>
  </si>
  <si>
    <t>HIJAB VOAL MOTIF LASER CUT PREMIUM</t>
  </si>
  <si>
    <t>CETAK STICKER LABEL BINDER | STICKER LABEL | CUSTOM DESIGN</t>
  </si>
  <si>
    <t>20 PCS</t>
  </si>
  <si>
    <t>35 PCS</t>
  </si>
  <si>
    <t>PAKET WAKAF MADRASAH | PESANTREN | PANTI</t>
  </si>
  <si>
    <t>PAKET 100.000</t>
  </si>
  <si>
    <t>PAKET 225.000</t>
  </si>
  <si>
    <t>PAKET 350.000</t>
  </si>
  <si>
    <t>Al QURAN TADJWID TANPA TERJEMAHAN MUSHAF SUBHAAN</t>
  </si>
  <si>
    <t>NAMA PRODUK</t>
  </si>
  <si>
    <t>JENIS AL QUR'AN</t>
  </si>
  <si>
    <t>WARNA</t>
  </si>
  <si>
    <t>UKURAN</t>
  </si>
  <si>
    <t>PAKET</t>
  </si>
  <si>
    <t>HARGA</t>
  </si>
  <si>
    <t>Al Quran Mushaf Al-Aqeel Kertas Koran Tanpa Terjemahan</t>
  </si>
  <si>
    <t>Al Quran Mushaf Al Aqeel Full Color A5 HVS</t>
  </si>
  <si>
    <t>PAKET MURAH Al Quran Mushaf Al-Aqeel A5 Kertas Koran Tanpa Terjemahan | BANDUNG</t>
  </si>
  <si>
    <t>Al Quran Mushaf Al Aqeel Full Color A5 B5 Kertas HVS (BANDUNG)</t>
  </si>
  <si>
    <t>Al Quran Wakaf Saku A6 Al Aqeel Kertas HVS (BANDUNG)</t>
  </si>
  <si>
    <t>Alquran Al Aqeel A5 Kertas Koran Tanpa Terjemahan Wakaf Ibtida (BANDUNG)</t>
  </si>
  <si>
    <t>Al Quran Legend Gold Silver Al Aqeel A5 A7 Kertas HVS (BANDUNG)</t>
  </si>
  <si>
    <t>PAKET MURAH Alquran Al-Aqeel Tanpa Terjemahan (BANDUNG) Alquran Untuk Wakaf Hadiah Hampers</t>
  </si>
  <si>
    <t>Paket Hemat Grosir Wakaf Al Quran Al Aqeel A5 Kertas koran Non Terjemah (BANDUNG)</t>
  </si>
  <si>
    <t>AL QURAN AL AQEEL A6 KERTAS HVS EDISI TAHLILAN (BANDUNG)</t>
  </si>
  <si>
    <t>AL QURAN AL QUDDUS SAKU A7 KULIT RESLETING (BANDUNG)</t>
  </si>
  <si>
    <t>AL QURAN CUSTOM NAMA FOTO DI COVER SISIPAN ACARA TASYAKUR TAHLIL YASIN (BANDUNG)</t>
  </si>
  <si>
    <t>Al Quran Al Quddus Tanpa terjemahan uk A5 DAN A4 Kertas HVS (BANDUNG)</t>
  </si>
  <si>
    <t>Al Quran Al Aqeel B5 Pastel Kertas HVS (BANDUNG)</t>
  </si>
  <si>
    <t>AL QURAN TERJEMAHAN AL ALEEM A5 KERTAS HVS WAQAF IBTIDA (BANDUNG)</t>
  </si>
  <si>
    <t>AL QURAN TADJWID DAN TERJEMAHAN TAFSIR ASBABUNNUZUL WAQAF IBTIDA MUSHAF MUMTAAZ A5 KERTAS QPP (BANDUNG)</t>
  </si>
  <si>
    <t>Juz'amma A5 kertas HVS Edisi Terbaru Lebih Lengkap Terjemahan Tajwid Asmaul Husnah (BANDUNG)</t>
  </si>
  <si>
    <t>AL QURAN MUSHAF AL ALEEM A6 SAKU KERTAS QPP (BANDUNG)</t>
  </si>
  <si>
    <t>Al QURAN TADJWID TANPA TERJEMAHAN MUSHAF SUBHAAN A5 KERTAS QPP (BANDUNG)</t>
  </si>
  <si>
    <t>A7 Satuan</t>
  </si>
  <si>
    <t>A5 Satuan</t>
  </si>
  <si>
    <t>A4 Satuan</t>
  </si>
  <si>
    <t>A5 KORAN</t>
  </si>
  <si>
    <t>A6 HVS</t>
  </si>
  <si>
    <t>A5 HVS</t>
  </si>
  <si>
    <t>A7 HVS</t>
  </si>
  <si>
    <t>AL FIKRAH</t>
  </si>
  <si>
    <t>AL QUDDUS</t>
  </si>
  <si>
    <t>AL AQEEL</t>
  </si>
  <si>
    <t>A4 HVS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</si>
</sst>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2" xfId="0" applyBorder="1" applyAlignment="1">
      <alignment wrapText="1"/>
    </xf>
    <xf numFmtId="0" fontId="0" fillId="0" borderId="2" xfId="0" applyBorder="1"/>
    <xf numFmtId="164" fontId="0" fillId="0" borderId="2" xfId="1" applyNumberFormat="1" applyFont="1" applyBorder="1"/>
    <xf numFmtId="0" fontId="0" fillId="0" borderId="0" xfId="0" applyAlignment="1">
      <alignment wrapText="1"/>
    </xf>
    <xf numFmtId="164" fontId="0" fillId="0" borderId="0" xfId="1" applyNumberFormat="1" applyFont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164" fontId="2" fillId="0" borderId="2" xfId="1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8CC9F-DD7D-453D-93E0-632FA723DE62}">
  <dimension ref="A1:F350"/>
  <sheetViews>
    <sheetView tabSelected="1" topLeftCell="A348" workbookViewId="0">
      <selection activeCell="A351" sqref="A351"/>
    </sheetView>
  </sheetViews>
  <sheetFormatPr defaultRowHeight="15" x14ac:dyDescent="0.25"/>
  <cols>
    <col min="1" max="1" width="40.28515625" style="4" bestFit="1" customWidth="1"/>
    <col min="2" max="2" width="35.42578125" customWidth="1"/>
    <col min="3" max="3" width="14.5703125" bestFit="1" customWidth="1"/>
    <col min="4" max="4" width="20.85546875" bestFit="1" customWidth="1"/>
    <col min="5" max="5" width="35.5703125" bestFit="1" customWidth="1"/>
    <col min="6" max="6" width="11.140625" style="5" bestFit="1" customWidth="1"/>
  </cols>
  <sheetData>
    <row r="1" spans="1:6" s="10" customFormat="1" x14ac:dyDescent="0.25">
      <c r="A1" s="6" t="s">
        <v>239</v>
      </c>
      <c r="B1" s="7" t="s">
        <v>240</v>
      </c>
      <c r="C1" s="8" t="s">
        <v>241</v>
      </c>
      <c r="D1" s="8" t="s">
        <v>242</v>
      </c>
      <c r="E1" s="8" t="s">
        <v>243</v>
      </c>
      <c r="F1" s="9" t="s">
        <v>244</v>
      </c>
    </row>
    <row r="2" spans="1:6" ht="45" x14ac:dyDescent="0.25">
      <c r="A2" s="1" t="s">
        <v>0</v>
      </c>
      <c r="B2" s="1"/>
      <c r="C2" s="2"/>
      <c r="D2" s="2"/>
      <c r="E2" s="2"/>
      <c r="F2" s="3">
        <v>39300</v>
      </c>
    </row>
    <row r="3" spans="1:6" ht="30" x14ac:dyDescent="0.25">
      <c r="A3" s="1" t="s">
        <v>1</v>
      </c>
      <c r="B3" s="1"/>
      <c r="C3" s="2"/>
      <c r="D3" s="2"/>
      <c r="E3" s="2"/>
      <c r="F3" s="3">
        <v>7300</v>
      </c>
    </row>
    <row r="4" spans="1:6" ht="30" x14ac:dyDescent="0.25">
      <c r="A4" s="1" t="s">
        <v>2</v>
      </c>
      <c r="B4" s="1"/>
      <c r="C4" s="2"/>
      <c r="D4" s="2"/>
      <c r="E4" s="2"/>
      <c r="F4" s="3">
        <v>149000</v>
      </c>
    </row>
    <row r="5" spans="1:6" ht="30" x14ac:dyDescent="0.25">
      <c r="A5" s="1" t="s">
        <v>3</v>
      </c>
      <c r="B5" s="2" t="s">
        <v>4</v>
      </c>
      <c r="C5" s="2"/>
      <c r="D5" s="2" t="s">
        <v>5</v>
      </c>
      <c r="E5" s="2"/>
      <c r="F5" s="3">
        <f>18000+2500</f>
        <v>20500</v>
      </c>
    </row>
    <row r="6" spans="1:6" ht="30" x14ac:dyDescent="0.25">
      <c r="A6" s="1" t="s">
        <v>3</v>
      </c>
      <c r="B6" s="2" t="s">
        <v>4</v>
      </c>
      <c r="C6" s="2"/>
      <c r="D6" s="2" t="s">
        <v>6</v>
      </c>
      <c r="E6" s="2"/>
      <c r="F6" s="3">
        <f>18000+7300</f>
        <v>25300</v>
      </c>
    </row>
    <row r="7" spans="1:6" ht="30" x14ac:dyDescent="0.25">
      <c r="A7" s="1" t="s">
        <v>3</v>
      </c>
      <c r="B7" s="2" t="s">
        <v>4</v>
      </c>
      <c r="C7" s="2"/>
      <c r="D7" s="2" t="s">
        <v>7</v>
      </c>
      <c r="E7" s="2"/>
      <c r="F7" s="3">
        <f>18000+2500+7300</f>
        <v>27800</v>
      </c>
    </row>
    <row r="8" spans="1:6" ht="30" x14ac:dyDescent="0.25">
      <c r="A8" s="1" t="s">
        <v>3</v>
      </c>
      <c r="B8" s="2" t="s">
        <v>4</v>
      </c>
      <c r="C8" s="2"/>
      <c r="D8" s="2" t="s">
        <v>8</v>
      </c>
      <c r="E8" s="2"/>
      <c r="F8" s="3">
        <f>18000+5000</f>
        <v>23000</v>
      </c>
    </row>
    <row r="9" spans="1:6" ht="30" x14ac:dyDescent="0.25">
      <c r="A9" s="1" t="s">
        <v>3</v>
      </c>
      <c r="B9" s="2" t="s">
        <v>9</v>
      </c>
      <c r="C9" s="2"/>
      <c r="D9" s="2" t="s">
        <v>5</v>
      </c>
      <c r="E9" s="2"/>
      <c r="F9" s="3">
        <v>46750</v>
      </c>
    </row>
    <row r="10" spans="1:6" ht="30" x14ac:dyDescent="0.25">
      <c r="A10" s="1" t="s">
        <v>3</v>
      </c>
      <c r="B10" s="2" t="s">
        <v>9</v>
      </c>
      <c r="C10" s="2"/>
      <c r="D10" s="2" t="s">
        <v>6</v>
      </c>
      <c r="E10" s="2"/>
      <c r="F10" s="3">
        <v>50250</v>
      </c>
    </row>
    <row r="11" spans="1:6" ht="30" x14ac:dyDescent="0.25">
      <c r="A11" s="1" t="s">
        <v>3</v>
      </c>
      <c r="B11" s="2" t="s">
        <v>9</v>
      </c>
      <c r="C11" s="2"/>
      <c r="D11" s="2" t="s">
        <v>7</v>
      </c>
      <c r="E11" s="2"/>
      <c r="F11" s="3">
        <v>74750</v>
      </c>
    </row>
    <row r="12" spans="1:6" ht="30" x14ac:dyDescent="0.25">
      <c r="A12" s="1" t="s">
        <v>3</v>
      </c>
      <c r="B12" s="2" t="s">
        <v>9</v>
      </c>
      <c r="C12" s="2"/>
      <c r="D12" s="2" t="s">
        <v>8</v>
      </c>
      <c r="E12" s="2"/>
      <c r="F12" s="3">
        <v>50250</v>
      </c>
    </row>
    <row r="13" spans="1:6" ht="30" x14ac:dyDescent="0.25">
      <c r="A13" s="1" t="s">
        <v>3</v>
      </c>
      <c r="B13" s="2" t="s">
        <v>10</v>
      </c>
      <c r="C13" s="2"/>
      <c r="D13" s="2" t="s">
        <v>5</v>
      </c>
      <c r="E13" s="2"/>
      <c r="F13" s="3">
        <f>7300+2500</f>
        <v>9800</v>
      </c>
    </row>
    <row r="14" spans="1:6" ht="30" x14ac:dyDescent="0.25">
      <c r="A14" s="1" t="s">
        <v>3</v>
      </c>
      <c r="B14" s="2" t="s">
        <v>10</v>
      </c>
      <c r="C14" s="2"/>
      <c r="D14" s="2" t="s">
        <v>6</v>
      </c>
      <c r="E14" s="2"/>
      <c r="F14" s="3">
        <f>7300+3800</f>
        <v>11100</v>
      </c>
    </row>
    <row r="15" spans="1:6" ht="30" x14ac:dyDescent="0.25">
      <c r="A15" s="1" t="s">
        <v>3</v>
      </c>
      <c r="B15" s="2" t="s">
        <v>10</v>
      </c>
      <c r="C15" s="2"/>
      <c r="D15" s="2" t="s">
        <v>7</v>
      </c>
      <c r="E15" s="2"/>
      <c r="F15" s="3">
        <f>7300+2500+3800</f>
        <v>13600</v>
      </c>
    </row>
    <row r="16" spans="1:6" ht="30" x14ac:dyDescent="0.25">
      <c r="A16" s="1" t="s">
        <v>3</v>
      </c>
      <c r="B16" s="2" t="s">
        <v>10</v>
      </c>
      <c r="C16" s="2"/>
      <c r="D16" s="2" t="s">
        <v>8</v>
      </c>
      <c r="E16" s="2"/>
      <c r="F16" s="3">
        <f>7300+5000</f>
        <v>12300</v>
      </c>
    </row>
    <row r="17" spans="1:6" ht="30" x14ac:dyDescent="0.25">
      <c r="A17" s="1" t="s">
        <v>3</v>
      </c>
      <c r="B17" s="2" t="s">
        <v>11</v>
      </c>
      <c r="C17" s="2"/>
      <c r="D17" s="2" t="s">
        <v>5</v>
      </c>
      <c r="E17" s="2"/>
      <c r="F17" s="3">
        <f>14500+2500</f>
        <v>17000</v>
      </c>
    </row>
    <row r="18" spans="1:6" ht="30" x14ac:dyDescent="0.25">
      <c r="A18" s="1" t="s">
        <v>3</v>
      </c>
      <c r="B18" s="2" t="s">
        <v>11</v>
      </c>
      <c r="C18" s="2"/>
      <c r="D18" s="2" t="s">
        <v>6</v>
      </c>
      <c r="E18" s="2"/>
      <c r="F18" s="3">
        <f>14500+7300</f>
        <v>21800</v>
      </c>
    </row>
    <row r="19" spans="1:6" ht="30" x14ac:dyDescent="0.25">
      <c r="A19" s="1" t="s">
        <v>3</v>
      </c>
      <c r="B19" s="2" t="s">
        <v>11</v>
      </c>
      <c r="C19" s="2"/>
      <c r="D19" s="2" t="s">
        <v>7</v>
      </c>
      <c r="E19" s="2"/>
      <c r="F19" s="3">
        <f>14500+2500+7300</f>
        <v>24300</v>
      </c>
    </row>
    <row r="20" spans="1:6" ht="30" x14ac:dyDescent="0.25">
      <c r="A20" s="1" t="s">
        <v>3</v>
      </c>
      <c r="B20" s="2" t="s">
        <v>11</v>
      </c>
      <c r="C20" s="2"/>
      <c r="D20" s="2" t="s">
        <v>8</v>
      </c>
      <c r="E20" s="2"/>
      <c r="F20" s="3">
        <f>14500+5000</f>
        <v>19500</v>
      </c>
    </row>
    <row r="21" spans="1:6" ht="30" x14ac:dyDescent="0.25">
      <c r="A21" s="1" t="s">
        <v>3</v>
      </c>
      <c r="B21" s="2" t="s">
        <v>12</v>
      </c>
      <c r="C21" s="2"/>
      <c r="D21" s="2" t="s">
        <v>5</v>
      </c>
      <c r="E21" s="2"/>
      <c r="F21" s="3">
        <f>12500+1250</f>
        <v>13750</v>
      </c>
    </row>
    <row r="22" spans="1:6" ht="30" x14ac:dyDescent="0.25">
      <c r="A22" s="1" t="s">
        <v>3</v>
      </c>
      <c r="B22" s="2" t="s">
        <v>12</v>
      </c>
      <c r="C22" s="2"/>
      <c r="D22" s="2" t="s">
        <v>6</v>
      </c>
      <c r="E22" s="2"/>
      <c r="F22" s="3">
        <f>12500+7300</f>
        <v>19800</v>
      </c>
    </row>
    <row r="23" spans="1:6" ht="30" x14ac:dyDescent="0.25">
      <c r="A23" s="1" t="s">
        <v>3</v>
      </c>
      <c r="B23" s="2" t="s">
        <v>12</v>
      </c>
      <c r="C23" s="2"/>
      <c r="D23" s="2" t="s">
        <v>7</v>
      </c>
      <c r="E23" s="2"/>
      <c r="F23" s="3">
        <f>12500+2500+7300</f>
        <v>22300</v>
      </c>
    </row>
    <row r="24" spans="1:6" ht="30" x14ac:dyDescent="0.25">
      <c r="A24" s="1" t="s">
        <v>3</v>
      </c>
      <c r="B24" s="2" t="s">
        <v>12</v>
      </c>
      <c r="C24" s="2"/>
      <c r="D24" s="2" t="s">
        <v>8</v>
      </c>
      <c r="E24" s="2"/>
      <c r="F24" s="3">
        <f>12500+5000</f>
        <v>17500</v>
      </c>
    </row>
    <row r="25" spans="1:6" ht="30" x14ac:dyDescent="0.25">
      <c r="A25" s="1" t="s">
        <v>13</v>
      </c>
      <c r="B25" s="2"/>
      <c r="C25" s="2" t="s">
        <v>14</v>
      </c>
      <c r="D25" s="2" t="s">
        <v>15</v>
      </c>
      <c r="E25" s="2" t="s">
        <v>16</v>
      </c>
      <c r="F25" s="3">
        <v>14500</v>
      </c>
    </row>
    <row r="26" spans="1:6" ht="30" x14ac:dyDescent="0.25">
      <c r="A26" s="1" t="s">
        <v>13</v>
      </c>
      <c r="B26" s="2"/>
      <c r="C26" s="2" t="s">
        <v>14</v>
      </c>
      <c r="D26" s="2" t="s">
        <v>15</v>
      </c>
      <c r="E26" s="2" t="s">
        <v>17</v>
      </c>
      <c r="F26" s="3">
        <f>14500*3</f>
        <v>43500</v>
      </c>
    </row>
    <row r="27" spans="1:6" ht="30" x14ac:dyDescent="0.25">
      <c r="A27" s="1" t="s">
        <v>13</v>
      </c>
      <c r="B27" s="2"/>
      <c r="C27" s="2" t="s">
        <v>14</v>
      </c>
      <c r="D27" s="2" t="s">
        <v>15</v>
      </c>
      <c r="E27" s="2" t="s">
        <v>18</v>
      </c>
      <c r="F27" s="3">
        <f>14500*5</f>
        <v>72500</v>
      </c>
    </row>
    <row r="28" spans="1:6" ht="30" x14ac:dyDescent="0.25">
      <c r="A28" s="1" t="s">
        <v>13</v>
      </c>
      <c r="B28" s="2"/>
      <c r="C28" s="2" t="s">
        <v>14</v>
      </c>
      <c r="D28" s="2" t="s">
        <v>15</v>
      </c>
      <c r="E28" s="2" t="s">
        <v>19</v>
      </c>
      <c r="F28" s="3">
        <f>14500*7</f>
        <v>101500</v>
      </c>
    </row>
    <row r="29" spans="1:6" ht="30" x14ac:dyDescent="0.25">
      <c r="A29" s="1" t="s">
        <v>13</v>
      </c>
      <c r="B29" s="2"/>
      <c r="C29" s="2" t="s">
        <v>14</v>
      </c>
      <c r="D29" s="2" t="s">
        <v>20</v>
      </c>
      <c r="E29" s="2" t="s">
        <v>16</v>
      </c>
      <c r="F29" s="3">
        <v>21000</v>
      </c>
    </row>
    <row r="30" spans="1:6" ht="30" x14ac:dyDescent="0.25">
      <c r="A30" s="1" t="s">
        <v>13</v>
      </c>
      <c r="B30" s="2"/>
      <c r="C30" s="2" t="s">
        <v>21</v>
      </c>
      <c r="D30" s="2" t="s">
        <v>15</v>
      </c>
      <c r="E30" s="2" t="s">
        <v>16</v>
      </c>
      <c r="F30" s="3">
        <v>14500</v>
      </c>
    </row>
    <row r="31" spans="1:6" ht="30" x14ac:dyDescent="0.25">
      <c r="A31" s="1" t="s">
        <v>13</v>
      </c>
      <c r="B31" s="2"/>
      <c r="C31" s="2" t="s">
        <v>21</v>
      </c>
      <c r="D31" s="2" t="s">
        <v>15</v>
      </c>
      <c r="E31" s="2" t="s">
        <v>17</v>
      </c>
      <c r="F31" s="3">
        <f>14500*3</f>
        <v>43500</v>
      </c>
    </row>
    <row r="32" spans="1:6" ht="30" x14ac:dyDescent="0.25">
      <c r="A32" s="1" t="s">
        <v>13</v>
      </c>
      <c r="B32" s="2"/>
      <c r="C32" s="2" t="s">
        <v>21</v>
      </c>
      <c r="D32" s="2" t="s">
        <v>15</v>
      </c>
      <c r="E32" s="2" t="s">
        <v>18</v>
      </c>
      <c r="F32" s="3">
        <f>14500*5</f>
        <v>72500</v>
      </c>
    </row>
    <row r="33" spans="1:6" ht="30" x14ac:dyDescent="0.25">
      <c r="A33" s="1" t="s">
        <v>13</v>
      </c>
      <c r="B33" s="2"/>
      <c r="C33" s="2" t="s">
        <v>21</v>
      </c>
      <c r="D33" s="2" t="s">
        <v>15</v>
      </c>
      <c r="E33" s="2" t="s">
        <v>19</v>
      </c>
      <c r="F33" s="3">
        <f>14500*7</f>
        <v>101500</v>
      </c>
    </row>
    <row r="34" spans="1:6" ht="30" x14ac:dyDescent="0.25">
      <c r="A34" s="1" t="s">
        <v>13</v>
      </c>
      <c r="B34" s="2"/>
      <c r="C34" s="2" t="s">
        <v>21</v>
      </c>
      <c r="D34" s="2" t="s">
        <v>20</v>
      </c>
      <c r="E34" s="2" t="s">
        <v>16</v>
      </c>
      <c r="F34" s="3">
        <v>21000</v>
      </c>
    </row>
    <row r="35" spans="1:6" ht="30" x14ac:dyDescent="0.25">
      <c r="A35" s="1" t="s">
        <v>13</v>
      </c>
      <c r="B35" s="2"/>
      <c r="C35" s="2" t="s">
        <v>22</v>
      </c>
      <c r="D35" s="2" t="s">
        <v>15</v>
      </c>
      <c r="E35" s="2" t="s">
        <v>16</v>
      </c>
      <c r="F35" s="3">
        <v>14500</v>
      </c>
    </row>
    <row r="36" spans="1:6" ht="30" x14ac:dyDescent="0.25">
      <c r="A36" s="1" t="s">
        <v>13</v>
      </c>
      <c r="B36" s="2"/>
      <c r="C36" s="2" t="s">
        <v>22</v>
      </c>
      <c r="D36" s="2" t="s">
        <v>15</v>
      </c>
      <c r="E36" s="2" t="s">
        <v>17</v>
      </c>
      <c r="F36" s="3">
        <f>14500*3</f>
        <v>43500</v>
      </c>
    </row>
    <row r="37" spans="1:6" ht="30" x14ac:dyDescent="0.25">
      <c r="A37" s="1" t="s">
        <v>13</v>
      </c>
      <c r="B37" s="2"/>
      <c r="C37" s="2" t="s">
        <v>22</v>
      </c>
      <c r="D37" s="2" t="s">
        <v>15</v>
      </c>
      <c r="E37" s="2" t="s">
        <v>18</v>
      </c>
      <c r="F37" s="3">
        <f>14500*5</f>
        <v>72500</v>
      </c>
    </row>
    <row r="38" spans="1:6" ht="30" x14ac:dyDescent="0.25">
      <c r="A38" s="1" t="s">
        <v>13</v>
      </c>
      <c r="B38" s="2"/>
      <c r="C38" s="2" t="s">
        <v>22</v>
      </c>
      <c r="D38" s="2" t="s">
        <v>15</v>
      </c>
      <c r="E38" s="2" t="s">
        <v>19</v>
      </c>
      <c r="F38" s="3">
        <f>14500*7</f>
        <v>101500</v>
      </c>
    </row>
    <row r="39" spans="1:6" ht="30" x14ac:dyDescent="0.25">
      <c r="A39" s="1" t="s">
        <v>13</v>
      </c>
      <c r="B39" s="2"/>
      <c r="C39" s="2" t="s">
        <v>22</v>
      </c>
      <c r="D39" s="2" t="s">
        <v>20</v>
      </c>
      <c r="E39" s="2" t="s">
        <v>16</v>
      </c>
      <c r="F39" s="3">
        <v>21000</v>
      </c>
    </row>
    <row r="40" spans="1:6" ht="30" x14ac:dyDescent="0.25">
      <c r="A40" s="1" t="s">
        <v>13</v>
      </c>
      <c r="B40" s="2"/>
      <c r="C40" s="2" t="s">
        <v>23</v>
      </c>
      <c r="D40" s="2" t="s">
        <v>15</v>
      </c>
      <c r="E40" s="2" t="s">
        <v>16</v>
      </c>
      <c r="F40" s="3">
        <v>14500</v>
      </c>
    </row>
    <row r="41" spans="1:6" ht="30" x14ac:dyDescent="0.25">
      <c r="A41" s="1" t="s">
        <v>13</v>
      </c>
      <c r="B41" s="2"/>
      <c r="C41" s="2" t="s">
        <v>23</v>
      </c>
      <c r="D41" s="2" t="s">
        <v>15</v>
      </c>
      <c r="E41" s="2" t="s">
        <v>17</v>
      </c>
      <c r="F41" s="3">
        <f>14500*3</f>
        <v>43500</v>
      </c>
    </row>
    <row r="42" spans="1:6" ht="30" x14ac:dyDescent="0.25">
      <c r="A42" s="1" t="s">
        <v>13</v>
      </c>
      <c r="B42" s="2"/>
      <c r="C42" s="2" t="s">
        <v>23</v>
      </c>
      <c r="D42" s="2" t="s">
        <v>15</v>
      </c>
      <c r="E42" s="2" t="s">
        <v>18</v>
      </c>
      <c r="F42" s="3">
        <f>14500*5</f>
        <v>72500</v>
      </c>
    </row>
    <row r="43" spans="1:6" ht="30" x14ac:dyDescent="0.25">
      <c r="A43" s="1" t="s">
        <v>13</v>
      </c>
      <c r="B43" s="2"/>
      <c r="C43" s="2" t="s">
        <v>23</v>
      </c>
      <c r="D43" s="2" t="s">
        <v>15</v>
      </c>
      <c r="E43" s="2" t="s">
        <v>19</v>
      </c>
      <c r="F43" s="3">
        <f>14500*7</f>
        <v>101500</v>
      </c>
    </row>
    <row r="44" spans="1:6" ht="30" x14ac:dyDescent="0.25">
      <c r="A44" s="1" t="s">
        <v>13</v>
      </c>
      <c r="B44" s="2"/>
      <c r="C44" s="2" t="s">
        <v>23</v>
      </c>
      <c r="D44" s="2" t="s">
        <v>20</v>
      </c>
      <c r="E44" s="2" t="s">
        <v>16</v>
      </c>
      <c r="F44" s="3">
        <v>21000</v>
      </c>
    </row>
    <row r="45" spans="1:6" ht="30" x14ac:dyDescent="0.25">
      <c r="A45" s="1" t="s">
        <v>13</v>
      </c>
      <c r="B45" s="2"/>
      <c r="C45" s="2" t="s">
        <v>24</v>
      </c>
      <c r="D45" s="2" t="s">
        <v>15</v>
      </c>
      <c r="E45" s="2" t="s">
        <v>16</v>
      </c>
      <c r="F45" s="3">
        <v>14500</v>
      </c>
    </row>
    <row r="46" spans="1:6" ht="30" x14ac:dyDescent="0.25">
      <c r="A46" s="1" t="s">
        <v>13</v>
      </c>
      <c r="B46" s="2"/>
      <c r="C46" s="2" t="s">
        <v>24</v>
      </c>
      <c r="D46" s="2" t="s">
        <v>15</v>
      </c>
      <c r="E46" s="2" t="s">
        <v>17</v>
      </c>
      <c r="F46" s="3">
        <f>14500*3</f>
        <v>43500</v>
      </c>
    </row>
    <row r="47" spans="1:6" ht="30" x14ac:dyDescent="0.25">
      <c r="A47" s="1" t="s">
        <v>13</v>
      </c>
      <c r="B47" s="2"/>
      <c r="C47" s="2" t="s">
        <v>24</v>
      </c>
      <c r="D47" s="2" t="s">
        <v>15</v>
      </c>
      <c r="E47" s="2" t="s">
        <v>18</v>
      </c>
      <c r="F47" s="3">
        <f>14500*5</f>
        <v>72500</v>
      </c>
    </row>
    <row r="48" spans="1:6" ht="30" x14ac:dyDescent="0.25">
      <c r="A48" s="1" t="s">
        <v>13</v>
      </c>
      <c r="B48" s="2"/>
      <c r="C48" s="2" t="s">
        <v>24</v>
      </c>
      <c r="D48" s="2" t="s">
        <v>15</v>
      </c>
      <c r="E48" s="2" t="s">
        <v>19</v>
      </c>
      <c r="F48" s="3">
        <f>14500*7</f>
        <v>101500</v>
      </c>
    </row>
    <row r="49" spans="1:6" ht="30" x14ac:dyDescent="0.25">
      <c r="A49" s="1" t="s">
        <v>13</v>
      </c>
      <c r="B49" s="2"/>
      <c r="C49" s="2" t="s">
        <v>24</v>
      </c>
      <c r="D49" s="2" t="s">
        <v>20</v>
      </c>
      <c r="E49" s="2" t="s">
        <v>16</v>
      </c>
      <c r="F49" s="3">
        <v>21000</v>
      </c>
    </row>
    <row r="50" spans="1:6" ht="30" x14ac:dyDescent="0.25">
      <c r="A50" s="1" t="s">
        <v>25</v>
      </c>
      <c r="B50" s="2"/>
      <c r="C50" s="2" t="s">
        <v>14</v>
      </c>
      <c r="D50" s="2" t="s">
        <v>15</v>
      </c>
      <c r="E50" s="2"/>
      <c r="F50" s="3">
        <v>26000</v>
      </c>
    </row>
    <row r="51" spans="1:6" ht="30" x14ac:dyDescent="0.25">
      <c r="A51" s="1" t="s">
        <v>25</v>
      </c>
      <c r="B51" s="2"/>
      <c r="C51" s="2" t="s">
        <v>26</v>
      </c>
      <c r="D51" s="2" t="s">
        <v>15</v>
      </c>
      <c r="E51" s="2"/>
      <c r="F51" s="3">
        <v>26000</v>
      </c>
    </row>
    <row r="52" spans="1:6" ht="30" x14ac:dyDescent="0.25">
      <c r="A52" s="1" t="s">
        <v>25</v>
      </c>
      <c r="B52" s="2"/>
      <c r="C52" s="2" t="s">
        <v>22</v>
      </c>
      <c r="D52" s="2" t="s">
        <v>15</v>
      </c>
      <c r="E52" s="2"/>
      <c r="F52" s="3">
        <v>26000</v>
      </c>
    </row>
    <row r="53" spans="1:6" ht="30" x14ac:dyDescent="0.25">
      <c r="A53" s="1" t="s">
        <v>25</v>
      </c>
      <c r="B53" s="2"/>
      <c r="C53" s="2" t="s">
        <v>21</v>
      </c>
      <c r="D53" s="2" t="s">
        <v>15</v>
      </c>
      <c r="E53" s="2"/>
      <c r="F53" s="3">
        <v>26000</v>
      </c>
    </row>
    <row r="54" spans="1:6" ht="30" x14ac:dyDescent="0.25">
      <c r="A54" s="1" t="s">
        <v>27</v>
      </c>
      <c r="B54" s="2"/>
      <c r="C54" s="2" t="s">
        <v>28</v>
      </c>
      <c r="D54" s="2" t="s">
        <v>29</v>
      </c>
      <c r="E54" s="2" t="s">
        <v>16</v>
      </c>
      <c r="F54" s="3">
        <f>12500</f>
        <v>12500</v>
      </c>
    </row>
    <row r="55" spans="1:6" ht="30" x14ac:dyDescent="0.25">
      <c r="A55" s="1" t="s">
        <v>27</v>
      </c>
      <c r="B55" s="2"/>
      <c r="C55" s="2" t="s">
        <v>28</v>
      </c>
      <c r="D55" s="2" t="s">
        <v>29</v>
      </c>
      <c r="E55" s="2" t="s">
        <v>17</v>
      </c>
      <c r="F55" s="3">
        <f>12500*3</f>
        <v>37500</v>
      </c>
    </row>
    <row r="56" spans="1:6" ht="30" x14ac:dyDescent="0.25">
      <c r="A56" s="1" t="s">
        <v>27</v>
      </c>
      <c r="B56" s="2"/>
      <c r="C56" s="2" t="s">
        <v>28</v>
      </c>
      <c r="D56" s="2" t="s">
        <v>29</v>
      </c>
      <c r="E56" s="2" t="s">
        <v>18</v>
      </c>
      <c r="F56" s="3">
        <f>12500*5</f>
        <v>62500</v>
      </c>
    </row>
    <row r="57" spans="1:6" ht="30" x14ac:dyDescent="0.25">
      <c r="A57" s="1" t="s">
        <v>27</v>
      </c>
      <c r="B57" s="2"/>
      <c r="C57" s="2" t="s">
        <v>28</v>
      </c>
      <c r="D57" s="2" t="s">
        <v>29</v>
      </c>
      <c r="E57" s="2" t="s">
        <v>19</v>
      </c>
      <c r="F57" s="3">
        <f>12500*7</f>
        <v>87500</v>
      </c>
    </row>
    <row r="58" spans="1:6" ht="30" x14ac:dyDescent="0.25">
      <c r="A58" s="1" t="s">
        <v>27</v>
      </c>
      <c r="B58" s="2"/>
      <c r="C58" s="2" t="s">
        <v>30</v>
      </c>
      <c r="D58" s="2" t="s">
        <v>29</v>
      </c>
      <c r="E58" s="2" t="s">
        <v>16</v>
      </c>
      <c r="F58" s="3">
        <f>12500</f>
        <v>12500</v>
      </c>
    </row>
    <row r="59" spans="1:6" ht="30" x14ac:dyDescent="0.25">
      <c r="A59" s="1" t="s">
        <v>27</v>
      </c>
      <c r="B59" s="2"/>
      <c r="C59" s="2" t="s">
        <v>30</v>
      </c>
      <c r="D59" s="2" t="s">
        <v>29</v>
      </c>
      <c r="E59" s="2" t="s">
        <v>17</v>
      </c>
      <c r="F59" s="3">
        <f>12500*3</f>
        <v>37500</v>
      </c>
    </row>
    <row r="60" spans="1:6" ht="30" x14ac:dyDescent="0.25">
      <c r="A60" s="1" t="s">
        <v>27</v>
      </c>
      <c r="B60" s="2"/>
      <c r="C60" s="2" t="s">
        <v>30</v>
      </c>
      <c r="D60" s="2" t="s">
        <v>29</v>
      </c>
      <c r="E60" s="2" t="s">
        <v>18</v>
      </c>
      <c r="F60" s="3">
        <f>12500*5</f>
        <v>62500</v>
      </c>
    </row>
    <row r="61" spans="1:6" ht="30" x14ac:dyDescent="0.25">
      <c r="A61" s="1" t="s">
        <v>27</v>
      </c>
      <c r="B61" s="2"/>
      <c r="C61" s="2" t="s">
        <v>30</v>
      </c>
      <c r="D61" s="2" t="s">
        <v>29</v>
      </c>
      <c r="E61" s="2" t="s">
        <v>19</v>
      </c>
      <c r="F61" s="3">
        <f>12500*7</f>
        <v>87500</v>
      </c>
    </row>
    <row r="62" spans="1:6" ht="30" x14ac:dyDescent="0.25">
      <c r="A62" s="1" t="s">
        <v>27</v>
      </c>
      <c r="B62" s="2"/>
      <c r="C62" s="2" t="s">
        <v>22</v>
      </c>
      <c r="D62" s="2" t="s">
        <v>29</v>
      </c>
      <c r="E62" s="2" t="s">
        <v>16</v>
      </c>
      <c r="F62" s="3">
        <f>12500</f>
        <v>12500</v>
      </c>
    </row>
    <row r="63" spans="1:6" ht="30" x14ac:dyDescent="0.25">
      <c r="A63" s="1" t="s">
        <v>27</v>
      </c>
      <c r="B63" s="2"/>
      <c r="C63" s="2" t="s">
        <v>22</v>
      </c>
      <c r="D63" s="2" t="s">
        <v>29</v>
      </c>
      <c r="E63" s="2" t="s">
        <v>17</v>
      </c>
      <c r="F63" s="3">
        <f>12500*3</f>
        <v>37500</v>
      </c>
    </row>
    <row r="64" spans="1:6" ht="30" x14ac:dyDescent="0.25">
      <c r="A64" s="1" t="s">
        <v>27</v>
      </c>
      <c r="B64" s="2"/>
      <c r="C64" s="2" t="s">
        <v>22</v>
      </c>
      <c r="D64" s="2" t="s">
        <v>29</v>
      </c>
      <c r="E64" s="2" t="s">
        <v>18</v>
      </c>
      <c r="F64" s="3">
        <f>12500*5</f>
        <v>62500</v>
      </c>
    </row>
    <row r="65" spans="1:6" ht="30" x14ac:dyDescent="0.25">
      <c r="A65" s="1" t="s">
        <v>27</v>
      </c>
      <c r="B65" s="2"/>
      <c r="C65" s="2" t="s">
        <v>22</v>
      </c>
      <c r="D65" s="2" t="s">
        <v>29</v>
      </c>
      <c r="E65" s="2" t="s">
        <v>19</v>
      </c>
      <c r="F65" s="3">
        <f>12500*7</f>
        <v>87500</v>
      </c>
    </row>
    <row r="66" spans="1:6" ht="30" x14ac:dyDescent="0.25">
      <c r="A66" s="1" t="s">
        <v>27</v>
      </c>
      <c r="B66" s="2"/>
      <c r="C66" s="2" t="s">
        <v>23</v>
      </c>
      <c r="D66" s="2" t="s">
        <v>29</v>
      </c>
      <c r="E66" s="2" t="s">
        <v>16</v>
      </c>
      <c r="F66" s="3">
        <f>12500</f>
        <v>12500</v>
      </c>
    </row>
    <row r="67" spans="1:6" ht="30" x14ac:dyDescent="0.25">
      <c r="A67" s="1" t="s">
        <v>27</v>
      </c>
      <c r="B67" s="2"/>
      <c r="C67" s="2" t="s">
        <v>23</v>
      </c>
      <c r="D67" s="2" t="s">
        <v>29</v>
      </c>
      <c r="E67" s="2" t="s">
        <v>17</v>
      </c>
      <c r="F67" s="3">
        <f>12500*3</f>
        <v>37500</v>
      </c>
    </row>
    <row r="68" spans="1:6" ht="30" x14ac:dyDescent="0.25">
      <c r="A68" s="1" t="s">
        <v>27</v>
      </c>
      <c r="B68" s="2"/>
      <c r="C68" s="2" t="s">
        <v>23</v>
      </c>
      <c r="D68" s="2" t="s">
        <v>29</v>
      </c>
      <c r="E68" s="2" t="s">
        <v>18</v>
      </c>
      <c r="F68" s="3">
        <f>12500*5</f>
        <v>62500</v>
      </c>
    </row>
    <row r="69" spans="1:6" ht="30" x14ac:dyDescent="0.25">
      <c r="A69" s="1" t="s">
        <v>27</v>
      </c>
      <c r="B69" s="2"/>
      <c r="C69" s="2" t="s">
        <v>23</v>
      </c>
      <c r="D69" s="2" t="s">
        <v>29</v>
      </c>
      <c r="E69" s="2" t="s">
        <v>19</v>
      </c>
      <c r="F69" s="3">
        <f>12500*7</f>
        <v>87500</v>
      </c>
    </row>
    <row r="70" spans="1:6" ht="30" x14ac:dyDescent="0.25">
      <c r="A70" s="1" t="s">
        <v>27</v>
      </c>
      <c r="B70" s="2"/>
      <c r="C70" s="2" t="s">
        <v>24</v>
      </c>
      <c r="D70" s="2" t="s">
        <v>29</v>
      </c>
      <c r="E70" s="2" t="s">
        <v>16</v>
      </c>
      <c r="F70" s="3">
        <f>12500</f>
        <v>12500</v>
      </c>
    </row>
    <row r="71" spans="1:6" ht="30" x14ac:dyDescent="0.25">
      <c r="A71" s="1" t="s">
        <v>27</v>
      </c>
      <c r="B71" s="2"/>
      <c r="C71" s="2" t="s">
        <v>24</v>
      </c>
      <c r="D71" s="2" t="s">
        <v>29</v>
      </c>
      <c r="E71" s="2" t="s">
        <v>17</v>
      </c>
      <c r="F71" s="3">
        <f>12500*3</f>
        <v>37500</v>
      </c>
    </row>
    <row r="72" spans="1:6" ht="30" x14ac:dyDescent="0.25">
      <c r="A72" s="1" t="s">
        <v>27</v>
      </c>
      <c r="B72" s="2"/>
      <c r="C72" s="2" t="s">
        <v>24</v>
      </c>
      <c r="D72" s="2" t="s">
        <v>29</v>
      </c>
      <c r="E72" s="2" t="s">
        <v>18</v>
      </c>
      <c r="F72" s="3">
        <f>12500*5</f>
        <v>62500</v>
      </c>
    </row>
    <row r="73" spans="1:6" ht="30" x14ac:dyDescent="0.25">
      <c r="A73" s="1" t="s">
        <v>27</v>
      </c>
      <c r="B73" s="2"/>
      <c r="C73" s="2" t="s">
        <v>24</v>
      </c>
      <c r="D73" s="2" t="s">
        <v>29</v>
      </c>
      <c r="E73" s="2" t="s">
        <v>19</v>
      </c>
      <c r="F73" s="3">
        <f>12500*7</f>
        <v>87500</v>
      </c>
    </row>
    <row r="74" spans="1:6" ht="30" x14ac:dyDescent="0.25">
      <c r="A74" s="1" t="s">
        <v>31</v>
      </c>
      <c r="B74" s="2"/>
      <c r="C74" s="2" t="s">
        <v>14</v>
      </c>
      <c r="D74" s="2" t="s">
        <v>15</v>
      </c>
      <c r="E74" s="2" t="s">
        <v>18</v>
      </c>
      <c r="F74" s="3">
        <f>14500*5</f>
        <v>72500</v>
      </c>
    </row>
    <row r="75" spans="1:6" ht="30" x14ac:dyDescent="0.25">
      <c r="A75" s="1" t="s">
        <v>31</v>
      </c>
      <c r="B75" s="2"/>
      <c r="C75" s="2" t="s">
        <v>14</v>
      </c>
      <c r="D75" s="2" t="s">
        <v>15</v>
      </c>
      <c r="E75" s="2" t="s">
        <v>32</v>
      </c>
      <c r="F75" s="3">
        <f>14500*10</f>
        <v>145000</v>
      </c>
    </row>
    <row r="76" spans="1:6" ht="30" x14ac:dyDescent="0.25">
      <c r="A76" s="1" t="s">
        <v>31</v>
      </c>
      <c r="B76" s="2"/>
      <c r="C76" s="2" t="s">
        <v>21</v>
      </c>
      <c r="D76" s="2" t="s">
        <v>15</v>
      </c>
      <c r="E76" s="2" t="s">
        <v>18</v>
      </c>
      <c r="F76" s="3">
        <f>14500*5</f>
        <v>72500</v>
      </c>
    </row>
    <row r="77" spans="1:6" ht="30" x14ac:dyDescent="0.25">
      <c r="A77" s="1" t="s">
        <v>31</v>
      </c>
      <c r="B77" s="2"/>
      <c r="C77" s="2" t="s">
        <v>21</v>
      </c>
      <c r="D77" s="2" t="s">
        <v>15</v>
      </c>
      <c r="E77" s="2" t="s">
        <v>32</v>
      </c>
      <c r="F77" s="3">
        <f>14500*10</f>
        <v>145000</v>
      </c>
    </row>
    <row r="78" spans="1:6" ht="30" x14ac:dyDescent="0.25">
      <c r="A78" s="1" t="s">
        <v>31</v>
      </c>
      <c r="B78" s="2"/>
      <c r="C78" s="2" t="s">
        <v>22</v>
      </c>
      <c r="D78" s="2" t="s">
        <v>15</v>
      </c>
      <c r="E78" s="2" t="s">
        <v>18</v>
      </c>
      <c r="F78" s="3">
        <f>14500*5</f>
        <v>72500</v>
      </c>
    </row>
    <row r="79" spans="1:6" ht="30" x14ac:dyDescent="0.25">
      <c r="A79" s="1" t="s">
        <v>31</v>
      </c>
      <c r="B79" s="2"/>
      <c r="C79" s="2" t="s">
        <v>22</v>
      </c>
      <c r="D79" s="2" t="s">
        <v>15</v>
      </c>
      <c r="E79" s="2" t="s">
        <v>32</v>
      </c>
      <c r="F79" s="3">
        <f>14500*10</f>
        <v>145000</v>
      </c>
    </row>
    <row r="80" spans="1:6" ht="30" x14ac:dyDescent="0.25">
      <c r="A80" s="1" t="s">
        <v>31</v>
      </c>
      <c r="B80" s="2"/>
      <c r="C80" s="2" t="s">
        <v>23</v>
      </c>
      <c r="D80" s="2" t="s">
        <v>15</v>
      </c>
      <c r="E80" s="2" t="s">
        <v>18</v>
      </c>
      <c r="F80" s="3">
        <f>14500*5</f>
        <v>72500</v>
      </c>
    </row>
    <row r="81" spans="1:6" ht="30" x14ac:dyDescent="0.25">
      <c r="A81" s="1" t="s">
        <v>31</v>
      </c>
      <c r="B81" s="2"/>
      <c r="C81" s="2" t="s">
        <v>23</v>
      </c>
      <c r="D81" s="2" t="s">
        <v>15</v>
      </c>
      <c r="E81" s="2" t="s">
        <v>32</v>
      </c>
      <c r="F81" s="3">
        <f>14500*10</f>
        <v>145000</v>
      </c>
    </row>
    <row r="82" spans="1:6" ht="30" x14ac:dyDescent="0.25">
      <c r="A82" s="1" t="s">
        <v>31</v>
      </c>
      <c r="B82" s="2"/>
      <c r="C82" s="2" t="s">
        <v>24</v>
      </c>
      <c r="D82" s="2" t="s">
        <v>15</v>
      </c>
      <c r="E82" s="2" t="s">
        <v>18</v>
      </c>
      <c r="F82" s="3">
        <f>14500*5</f>
        <v>72500</v>
      </c>
    </row>
    <row r="83" spans="1:6" ht="30" x14ac:dyDescent="0.25">
      <c r="A83" s="1" t="s">
        <v>31</v>
      </c>
      <c r="B83" s="2"/>
      <c r="C83" s="2" t="s">
        <v>24</v>
      </c>
      <c r="D83" s="2" t="s">
        <v>15</v>
      </c>
      <c r="E83" s="2" t="s">
        <v>32</v>
      </c>
      <c r="F83" s="3">
        <f>14500*10</f>
        <v>145000</v>
      </c>
    </row>
    <row r="84" spans="1:6" ht="30" x14ac:dyDescent="0.25">
      <c r="A84" s="1" t="s">
        <v>33</v>
      </c>
      <c r="B84" s="2"/>
      <c r="C84" s="2" t="s">
        <v>34</v>
      </c>
      <c r="D84" s="2" t="s">
        <v>35</v>
      </c>
      <c r="E84" s="2"/>
      <c r="F84" s="3">
        <v>37000</v>
      </c>
    </row>
    <row r="85" spans="1:6" ht="30" x14ac:dyDescent="0.25">
      <c r="A85" s="1" t="s">
        <v>33</v>
      </c>
      <c r="B85" s="2"/>
      <c r="C85" s="2" t="s">
        <v>34</v>
      </c>
      <c r="D85" s="2" t="s">
        <v>20</v>
      </c>
      <c r="E85" s="2"/>
      <c r="F85" s="3">
        <v>31000</v>
      </c>
    </row>
    <row r="86" spans="1:6" ht="30" x14ac:dyDescent="0.25">
      <c r="A86" s="1" t="s">
        <v>33</v>
      </c>
      <c r="B86" s="2"/>
      <c r="C86" s="2" t="s">
        <v>34</v>
      </c>
      <c r="D86" s="2" t="s">
        <v>15</v>
      </c>
      <c r="E86" s="2"/>
      <c r="F86" s="3">
        <v>21000</v>
      </c>
    </row>
    <row r="87" spans="1:6" ht="30" x14ac:dyDescent="0.25">
      <c r="A87" s="1" t="s">
        <v>33</v>
      </c>
      <c r="B87" s="2"/>
      <c r="C87" s="2" t="s">
        <v>34</v>
      </c>
      <c r="D87" s="2" t="s">
        <v>36</v>
      </c>
      <c r="E87" s="2"/>
      <c r="F87" s="3">
        <v>14000</v>
      </c>
    </row>
    <row r="88" spans="1:6" ht="30" x14ac:dyDescent="0.25">
      <c r="A88" s="1" t="s">
        <v>33</v>
      </c>
      <c r="B88" s="2"/>
      <c r="C88" s="2" t="s">
        <v>34</v>
      </c>
      <c r="D88" s="2" t="s">
        <v>37</v>
      </c>
      <c r="E88" s="2"/>
      <c r="F88" s="3">
        <v>8500</v>
      </c>
    </row>
    <row r="89" spans="1:6" ht="30" x14ac:dyDescent="0.25">
      <c r="A89" s="1" t="s">
        <v>33</v>
      </c>
      <c r="B89" s="2"/>
      <c r="C89" s="2" t="s">
        <v>38</v>
      </c>
      <c r="D89" s="2" t="s">
        <v>35</v>
      </c>
      <c r="E89" s="2"/>
      <c r="F89" s="3">
        <v>37000</v>
      </c>
    </row>
    <row r="90" spans="1:6" ht="30" x14ac:dyDescent="0.25">
      <c r="A90" s="1" t="s">
        <v>33</v>
      </c>
      <c r="B90" s="2"/>
      <c r="C90" s="2" t="s">
        <v>38</v>
      </c>
      <c r="D90" s="2" t="s">
        <v>20</v>
      </c>
      <c r="E90" s="2"/>
      <c r="F90" s="3">
        <v>31000</v>
      </c>
    </row>
    <row r="91" spans="1:6" ht="30" x14ac:dyDescent="0.25">
      <c r="A91" s="1" t="s">
        <v>33</v>
      </c>
      <c r="B91" s="2"/>
      <c r="C91" s="2" t="s">
        <v>38</v>
      </c>
      <c r="D91" s="2" t="s">
        <v>15</v>
      </c>
      <c r="E91" s="2"/>
      <c r="F91" s="3">
        <v>21000</v>
      </c>
    </row>
    <row r="92" spans="1:6" ht="30" x14ac:dyDescent="0.25">
      <c r="A92" s="1" t="s">
        <v>33</v>
      </c>
      <c r="B92" s="2"/>
      <c r="C92" s="2" t="s">
        <v>38</v>
      </c>
      <c r="D92" s="2" t="s">
        <v>36</v>
      </c>
      <c r="E92" s="2"/>
      <c r="F92" s="3">
        <v>14000</v>
      </c>
    </row>
    <row r="93" spans="1:6" ht="30" x14ac:dyDescent="0.25">
      <c r="A93" s="1" t="s">
        <v>33</v>
      </c>
      <c r="B93" s="2"/>
      <c r="C93" s="2" t="s">
        <v>38</v>
      </c>
      <c r="D93" s="2" t="s">
        <v>37</v>
      </c>
      <c r="E93" s="2"/>
      <c r="F93" s="3">
        <v>8500</v>
      </c>
    </row>
    <row r="94" spans="1:6" ht="45" x14ac:dyDescent="0.25">
      <c r="A94" s="1" t="s">
        <v>39</v>
      </c>
      <c r="B94" s="2"/>
      <c r="C94" s="2" t="s">
        <v>40</v>
      </c>
      <c r="D94" s="2"/>
      <c r="E94" s="2"/>
      <c r="F94" s="3">
        <v>14000</v>
      </c>
    </row>
    <row r="95" spans="1:6" ht="45" x14ac:dyDescent="0.25">
      <c r="A95" s="1" t="s">
        <v>39</v>
      </c>
      <c r="B95" s="2"/>
      <c r="C95" s="2" t="s">
        <v>41</v>
      </c>
      <c r="D95" s="2"/>
      <c r="E95" s="2"/>
      <c r="F95" s="3">
        <v>14000</v>
      </c>
    </row>
    <row r="96" spans="1:6" ht="45" x14ac:dyDescent="0.25">
      <c r="A96" s="1" t="s">
        <v>39</v>
      </c>
      <c r="B96" s="2"/>
      <c r="C96" s="2" t="s">
        <v>42</v>
      </c>
      <c r="D96" s="2"/>
      <c r="E96" s="2"/>
      <c r="F96" s="3">
        <v>14000</v>
      </c>
    </row>
    <row r="97" spans="1:6" ht="45" x14ac:dyDescent="0.25">
      <c r="A97" s="1" t="s">
        <v>39</v>
      </c>
      <c r="B97" s="2"/>
      <c r="C97" s="2" t="s">
        <v>43</v>
      </c>
      <c r="D97" s="2"/>
      <c r="E97" s="2"/>
      <c r="F97" s="3">
        <v>14000</v>
      </c>
    </row>
    <row r="98" spans="1:6" ht="45" x14ac:dyDescent="0.25">
      <c r="A98" s="1" t="s">
        <v>39</v>
      </c>
      <c r="B98" s="2"/>
      <c r="C98" s="2" t="s">
        <v>44</v>
      </c>
      <c r="D98" s="2"/>
      <c r="E98" s="2"/>
      <c r="F98" s="3">
        <v>14000</v>
      </c>
    </row>
    <row r="99" spans="1:6" ht="45" x14ac:dyDescent="0.25">
      <c r="A99" s="1" t="s">
        <v>39</v>
      </c>
      <c r="B99" s="2"/>
      <c r="C99" s="2" t="s">
        <v>45</v>
      </c>
      <c r="D99" s="2"/>
      <c r="E99" s="2"/>
      <c r="F99" s="3">
        <v>14000</v>
      </c>
    </row>
    <row r="100" spans="1:6" ht="45" x14ac:dyDescent="0.25">
      <c r="A100" s="1" t="s">
        <v>39</v>
      </c>
      <c r="B100" s="2"/>
      <c r="C100" s="2" t="s">
        <v>46</v>
      </c>
      <c r="D100" s="2"/>
      <c r="E100" s="2"/>
      <c r="F100" s="3">
        <v>14000</v>
      </c>
    </row>
    <row r="101" spans="1:6" ht="45" x14ac:dyDescent="0.25">
      <c r="A101" s="1" t="s">
        <v>39</v>
      </c>
      <c r="B101" s="2"/>
      <c r="C101" s="2" t="s">
        <v>47</v>
      </c>
      <c r="D101" s="2"/>
      <c r="E101" s="2"/>
      <c r="F101" s="3">
        <v>14000</v>
      </c>
    </row>
    <row r="102" spans="1:6" ht="45" x14ac:dyDescent="0.25">
      <c r="A102" s="1" t="s">
        <v>39</v>
      </c>
      <c r="B102" s="2"/>
      <c r="C102" s="2" t="s">
        <v>48</v>
      </c>
      <c r="D102" s="2"/>
      <c r="E102" s="2"/>
      <c r="F102" s="3">
        <v>14000</v>
      </c>
    </row>
    <row r="103" spans="1:6" ht="45" x14ac:dyDescent="0.25">
      <c r="A103" s="1" t="s">
        <v>39</v>
      </c>
      <c r="B103" s="2"/>
      <c r="C103" s="2" t="s">
        <v>49</v>
      </c>
      <c r="D103" s="2"/>
      <c r="E103" s="2"/>
      <c r="F103" s="3">
        <v>14000</v>
      </c>
    </row>
    <row r="104" spans="1:6" ht="45" x14ac:dyDescent="0.25">
      <c r="A104" s="1" t="s">
        <v>39</v>
      </c>
      <c r="B104" s="2"/>
      <c r="C104" s="2" t="s">
        <v>50</v>
      </c>
      <c r="D104" s="2"/>
      <c r="E104" s="2"/>
      <c r="F104" s="3">
        <v>14000</v>
      </c>
    </row>
    <row r="105" spans="1:6" ht="45" x14ac:dyDescent="0.25">
      <c r="A105" s="1" t="s">
        <v>39</v>
      </c>
      <c r="B105" s="2"/>
      <c r="C105" s="2" t="s">
        <v>51</v>
      </c>
      <c r="D105" s="2"/>
      <c r="E105" s="2"/>
      <c r="F105" s="3">
        <v>14000</v>
      </c>
    </row>
    <row r="106" spans="1:6" ht="45" x14ac:dyDescent="0.25">
      <c r="A106" s="1" t="s">
        <v>39</v>
      </c>
      <c r="B106" s="2"/>
      <c r="C106" s="2" t="s">
        <v>52</v>
      </c>
      <c r="D106" s="2"/>
      <c r="E106" s="2"/>
      <c r="F106" s="3">
        <v>14000</v>
      </c>
    </row>
    <row r="107" spans="1:6" ht="45" x14ac:dyDescent="0.25">
      <c r="A107" s="1" t="s">
        <v>39</v>
      </c>
      <c r="B107" s="2"/>
      <c r="C107" s="2" t="s">
        <v>53</v>
      </c>
      <c r="D107" s="2"/>
      <c r="E107" s="2"/>
      <c r="F107" s="3">
        <v>14000</v>
      </c>
    </row>
    <row r="108" spans="1:6" ht="45" x14ac:dyDescent="0.25">
      <c r="A108" s="1" t="s">
        <v>39</v>
      </c>
      <c r="B108" s="2"/>
      <c r="C108" s="2" t="s">
        <v>54</v>
      </c>
      <c r="D108" s="2"/>
      <c r="E108" s="2"/>
      <c r="F108" s="3">
        <v>14000</v>
      </c>
    </row>
    <row r="109" spans="1:6" ht="45" x14ac:dyDescent="0.25">
      <c r="A109" s="1" t="s">
        <v>39</v>
      </c>
      <c r="B109" s="2"/>
      <c r="C109" s="2" t="s">
        <v>55</v>
      </c>
      <c r="D109" s="2"/>
      <c r="E109" s="2"/>
      <c r="F109" s="3">
        <v>14000</v>
      </c>
    </row>
    <row r="110" spans="1:6" ht="45" x14ac:dyDescent="0.25">
      <c r="A110" s="1" t="s">
        <v>39</v>
      </c>
      <c r="B110" s="2"/>
      <c r="C110" s="2" t="s">
        <v>56</v>
      </c>
      <c r="D110" s="2"/>
      <c r="E110" s="2"/>
      <c r="F110" s="3">
        <v>14000</v>
      </c>
    </row>
    <row r="111" spans="1:6" ht="45" x14ac:dyDescent="0.25">
      <c r="A111" s="1" t="s">
        <v>39</v>
      </c>
      <c r="B111" s="2"/>
      <c r="C111" s="2" t="s">
        <v>57</v>
      </c>
      <c r="D111" s="2"/>
      <c r="E111" s="2"/>
      <c r="F111" s="3">
        <v>14000</v>
      </c>
    </row>
    <row r="112" spans="1:6" ht="45" x14ac:dyDescent="0.25">
      <c r="A112" s="1" t="s">
        <v>39</v>
      </c>
      <c r="B112" s="2"/>
      <c r="C112" s="2" t="s">
        <v>58</v>
      </c>
      <c r="D112" s="2"/>
      <c r="E112" s="2"/>
      <c r="F112" s="3">
        <v>14000</v>
      </c>
    </row>
    <row r="113" spans="1:6" ht="45" x14ac:dyDescent="0.25">
      <c r="A113" s="1" t="s">
        <v>39</v>
      </c>
      <c r="B113" s="2"/>
      <c r="C113" s="2" t="s">
        <v>59</v>
      </c>
      <c r="D113" s="2"/>
      <c r="E113" s="2"/>
      <c r="F113" s="3">
        <v>14000</v>
      </c>
    </row>
    <row r="114" spans="1:6" ht="45" x14ac:dyDescent="0.25">
      <c r="A114" s="1" t="s">
        <v>39</v>
      </c>
      <c r="B114" s="2"/>
      <c r="C114" s="2" t="s">
        <v>60</v>
      </c>
      <c r="D114" s="2"/>
      <c r="E114" s="2"/>
      <c r="F114" s="3">
        <v>14000</v>
      </c>
    </row>
    <row r="115" spans="1:6" ht="45" x14ac:dyDescent="0.25">
      <c r="A115" s="1" t="s">
        <v>39</v>
      </c>
      <c r="B115" s="2"/>
      <c r="C115" s="2" t="s">
        <v>61</v>
      </c>
      <c r="D115" s="2"/>
      <c r="E115" s="2"/>
      <c r="F115" s="3">
        <v>14000</v>
      </c>
    </row>
    <row r="116" spans="1:6" ht="45" x14ac:dyDescent="0.25">
      <c r="A116" s="1" t="s">
        <v>39</v>
      </c>
      <c r="B116" s="2"/>
      <c r="C116" s="2" t="s">
        <v>62</v>
      </c>
      <c r="D116" s="2"/>
      <c r="E116" s="2"/>
      <c r="F116" s="3">
        <v>14000</v>
      </c>
    </row>
    <row r="117" spans="1:6" ht="45" x14ac:dyDescent="0.25">
      <c r="A117" s="1" t="s">
        <v>39</v>
      </c>
      <c r="B117" s="2"/>
      <c r="C117" s="2" t="s">
        <v>63</v>
      </c>
      <c r="D117" s="2"/>
      <c r="E117" s="2"/>
      <c r="F117" s="3">
        <v>14000</v>
      </c>
    </row>
    <row r="118" spans="1:6" ht="45" x14ac:dyDescent="0.25">
      <c r="A118" s="1" t="s">
        <v>39</v>
      </c>
      <c r="B118" s="2"/>
      <c r="C118" s="2" t="s">
        <v>64</v>
      </c>
      <c r="D118" s="2"/>
      <c r="E118" s="2"/>
      <c r="F118" s="3">
        <v>14000</v>
      </c>
    </row>
    <row r="119" spans="1:6" ht="45" x14ac:dyDescent="0.25">
      <c r="A119" s="1" t="s">
        <v>39</v>
      </c>
      <c r="B119" s="2"/>
      <c r="C119" s="2" t="s">
        <v>65</v>
      </c>
      <c r="D119" s="2"/>
      <c r="E119" s="2"/>
      <c r="F119" s="3">
        <v>14000</v>
      </c>
    </row>
    <row r="120" spans="1:6" ht="45" x14ac:dyDescent="0.25">
      <c r="A120" s="1" t="s">
        <v>39</v>
      </c>
      <c r="B120" s="2"/>
      <c r="C120" s="2" t="s">
        <v>66</v>
      </c>
      <c r="D120" s="2"/>
      <c r="E120" s="2"/>
      <c r="F120" s="3">
        <v>14000</v>
      </c>
    </row>
    <row r="121" spans="1:6" ht="45" x14ac:dyDescent="0.25">
      <c r="A121" s="1" t="s">
        <v>39</v>
      </c>
      <c r="B121" s="2"/>
      <c r="C121" s="2" t="s">
        <v>67</v>
      </c>
      <c r="D121" s="2"/>
      <c r="E121" s="2"/>
      <c r="F121" s="3">
        <v>14000</v>
      </c>
    </row>
    <row r="122" spans="1:6" ht="45" x14ac:dyDescent="0.25">
      <c r="A122" s="1" t="s">
        <v>39</v>
      </c>
      <c r="B122" s="2"/>
      <c r="C122" s="2" t="s">
        <v>68</v>
      </c>
      <c r="D122" s="2"/>
      <c r="E122" s="2"/>
      <c r="F122" s="3">
        <v>14000</v>
      </c>
    </row>
    <row r="123" spans="1:6" ht="45" x14ac:dyDescent="0.25">
      <c r="A123" s="1" t="s">
        <v>39</v>
      </c>
      <c r="B123" s="2"/>
      <c r="C123" s="2" t="s">
        <v>69</v>
      </c>
      <c r="D123" s="2"/>
      <c r="E123" s="2"/>
      <c r="F123" s="3">
        <v>14000</v>
      </c>
    </row>
    <row r="124" spans="1:6" ht="45" x14ac:dyDescent="0.25">
      <c r="A124" s="1" t="s">
        <v>39</v>
      </c>
      <c r="B124" s="2"/>
      <c r="C124" s="2" t="s">
        <v>70</v>
      </c>
      <c r="D124" s="2"/>
      <c r="E124" s="2"/>
      <c r="F124" s="3">
        <v>14000</v>
      </c>
    </row>
    <row r="125" spans="1:6" ht="45" x14ac:dyDescent="0.25">
      <c r="A125" s="1" t="s">
        <v>39</v>
      </c>
      <c r="B125" s="2"/>
      <c r="C125" s="2" t="s">
        <v>71</v>
      </c>
      <c r="D125" s="2"/>
      <c r="E125" s="2"/>
      <c r="F125" s="3">
        <v>14000</v>
      </c>
    </row>
    <row r="126" spans="1:6" ht="45" x14ac:dyDescent="0.25">
      <c r="A126" s="1" t="s">
        <v>39</v>
      </c>
      <c r="B126" s="2"/>
      <c r="C126" s="2" t="s">
        <v>72</v>
      </c>
      <c r="D126" s="2"/>
      <c r="E126" s="2"/>
      <c r="F126" s="3">
        <v>14000</v>
      </c>
    </row>
    <row r="127" spans="1:6" ht="45" x14ac:dyDescent="0.25">
      <c r="A127" s="1" t="s">
        <v>39</v>
      </c>
      <c r="B127" s="2"/>
      <c r="C127" s="2" t="s">
        <v>73</v>
      </c>
      <c r="D127" s="2"/>
      <c r="E127" s="2"/>
      <c r="F127" s="3">
        <v>14000</v>
      </c>
    </row>
    <row r="128" spans="1:6" ht="45" x14ac:dyDescent="0.25">
      <c r="A128" s="1" t="s">
        <v>39</v>
      </c>
      <c r="B128" s="2"/>
      <c r="C128" s="2" t="s">
        <v>74</v>
      </c>
      <c r="D128" s="2"/>
      <c r="E128" s="2"/>
      <c r="F128" s="3">
        <v>14000</v>
      </c>
    </row>
    <row r="129" spans="1:6" ht="45" x14ac:dyDescent="0.25">
      <c r="A129" s="1" t="s">
        <v>39</v>
      </c>
      <c r="B129" s="2"/>
      <c r="C129" s="2" t="s">
        <v>75</v>
      </c>
      <c r="D129" s="2"/>
      <c r="E129" s="2"/>
      <c r="F129" s="3">
        <v>14000</v>
      </c>
    </row>
    <row r="130" spans="1:6" ht="30" x14ac:dyDescent="0.25">
      <c r="A130" s="1" t="s">
        <v>76</v>
      </c>
      <c r="B130" s="2" t="s">
        <v>77</v>
      </c>
      <c r="C130" s="2"/>
      <c r="D130" s="2"/>
      <c r="E130" s="2"/>
      <c r="F130" s="3">
        <v>8100</v>
      </c>
    </row>
    <row r="131" spans="1:6" ht="30" x14ac:dyDescent="0.25">
      <c r="A131" s="1" t="s">
        <v>76</v>
      </c>
      <c r="B131" s="2" t="s">
        <v>78</v>
      </c>
      <c r="C131" s="2"/>
      <c r="D131" s="2"/>
      <c r="E131" s="2"/>
      <c r="F131" s="3">
        <v>8100</v>
      </c>
    </row>
    <row r="132" spans="1:6" ht="30" x14ac:dyDescent="0.25">
      <c r="A132" s="1" t="s">
        <v>76</v>
      </c>
      <c r="B132" s="2" t="s">
        <v>79</v>
      </c>
      <c r="C132" s="2"/>
      <c r="D132" s="2"/>
      <c r="E132" s="2"/>
      <c r="F132" s="3">
        <v>8100</v>
      </c>
    </row>
    <row r="133" spans="1:6" ht="30" x14ac:dyDescent="0.25">
      <c r="A133" s="1" t="s">
        <v>76</v>
      </c>
      <c r="B133" s="2" t="s">
        <v>80</v>
      </c>
      <c r="C133" s="2"/>
      <c r="D133" s="2"/>
      <c r="E133" s="2"/>
      <c r="F133" s="3">
        <v>8100</v>
      </c>
    </row>
    <row r="134" spans="1:6" ht="30" x14ac:dyDescent="0.25">
      <c r="A134" s="1" t="s">
        <v>76</v>
      </c>
      <c r="B134" s="2" t="s">
        <v>81</v>
      </c>
      <c r="C134" s="2"/>
      <c r="D134" s="2"/>
      <c r="E134" s="2"/>
      <c r="F134" s="3">
        <v>8100</v>
      </c>
    </row>
    <row r="135" spans="1:6" ht="30" x14ac:dyDescent="0.25">
      <c r="A135" s="1" t="s">
        <v>76</v>
      </c>
      <c r="B135" s="2" t="s">
        <v>82</v>
      </c>
      <c r="C135" s="2"/>
      <c r="D135" s="2"/>
      <c r="E135" s="2"/>
      <c r="F135" s="3">
        <v>8100</v>
      </c>
    </row>
    <row r="136" spans="1:6" ht="30" x14ac:dyDescent="0.25">
      <c r="A136" s="1" t="s">
        <v>76</v>
      </c>
      <c r="B136" s="2" t="s">
        <v>83</v>
      </c>
      <c r="C136" s="2"/>
      <c r="D136" s="2"/>
      <c r="E136" s="2"/>
      <c r="F136" s="3">
        <v>48600</v>
      </c>
    </row>
    <row r="137" spans="1:6" ht="30" x14ac:dyDescent="0.25">
      <c r="A137" s="1" t="s">
        <v>84</v>
      </c>
      <c r="B137" s="2"/>
      <c r="C137" s="2" t="s">
        <v>14</v>
      </c>
      <c r="D137" s="2"/>
      <c r="E137" s="2"/>
      <c r="F137" s="3">
        <v>19000</v>
      </c>
    </row>
    <row r="138" spans="1:6" ht="30" x14ac:dyDescent="0.25">
      <c r="A138" s="1" t="s">
        <v>84</v>
      </c>
      <c r="B138" s="2"/>
      <c r="C138" s="2" t="s">
        <v>26</v>
      </c>
      <c r="D138" s="2"/>
      <c r="E138" s="2"/>
      <c r="F138" s="3">
        <v>19000</v>
      </c>
    </row>
    <row r="139" spans="1:6" ht="30" x14ac:dyDescent="0.25">
      <c r="A139" s="1" t="s">
        <v>84</v>
      </c>
      <c r="B139" s="2"/>
      <c r="C139" s="2" t="s">
        <v>21</v>
      </c>
      <c r="D139" s="2"/>
      <c r="E139" s="2"/>
      <c r="F139" s="3">
        <v>19000</v>
      </c>
    </row>
    <row r="140" spans="1:6" ht="30" x14ac:dyDescent="0.25">
      <c r="A140" s="1" t="s">
        <v>84</v>
      </c>
      <c r="B140" s="2"/>
      <c r="C140" s="2" t="s">
        <v>23</v>
      </c>
      <c r="D140" s="2"/>
      <c r="E140" s="2"/>
      <c r="F140" s="3">
        <v>19000</v>
      </c>
    </row>
    <row r="141" spans="1:6" ht="30" x14ac:dyDescent="0.25">
      <c r="A141" s="1" t="s">
        <v>84</v>
      </c>
      <c r="B141" s="2"/>
      <c r="C141" s="2" t="s">
        <v>28</v>
      </c>
      <c r="D141" s="2"/>
      <c r="E141" s="2"/>
      <c r="F141" s="3">
        <v>19000</v>
      </c>
    </row>
    <row r="142" spans="1:6" ht="30" x14ac:dyDescent="0.25">
      <c r="A142" s="1" t="s">
        <v>84</v>
      </c>
      <c r="B142" s="2"/>
      <c r="C142" s="2" t="s">
        <v>85</v>
      </c>
      <c r="D142" s="2"/>
      <c r="E142" s="2"/>
      <c r="F142" s="3">
        <v>19000</v>
      </c>
    </row>
    <row r="143" spans="1:6" ht="45" x14ac:dyDescent="0.25">
      <c r="A143" s="1" t="s">
        <v>86</v>
      </c>
      <c r="B143" s="2"/>
      <c r="C143" s="2"/>
      <c r="D143" s="2"/>
      <c r="E143" s="2"/>
      <c r="F143" s="3">
        <v>9000</v>
      </c>
    </row>
    <row r="144" spans="1:6" ht="30" x14ac:dyDescent="0.25">
      <c r="A144" s="1" t="s">
        <v>87</v>
      </c>
      <c r="B144" s="2"/>
      <c r="C144" s="2" t="s">
        <v>88</v>
      </c>
      <c r="D144" s="2"/>
      <c r="E144" s="2"/>
      <c r="F144" s="3">
        <v>25577</v>
      </c>
    </row>
    <row r="145" spans="1:6" ht="30" x14ac:dyDescent="0.25">
      <c r="A145" s="1" t="s">
        <v>87</v>
      </c>
      <c r="B145" s="2"/>
      <c r="C145" s="2" t="s">
        <v>89</v>
      </c>
      <c r="D145" s="2"/>
      <c r="E145" s="2"/>
      <c r="F145" s="3">
        <v>25577</v>
      </c>
    </row>
    <row r="146" spans="1:6" ht="30" x14ac:dyDescent="0.25">
      <c r="A146" s="1" t="s">
        <v>87</v>
      </c>
      <c r="B146" s="2"/>
      <c r="C146" s="2" t="s">
        <v>90</v>
      </c>
      <c r="D146" s="2"/>
      <c r="E146" s="2"/>
      <c r="F146" s="3">
        <v>25577</v>
      </c>
    </row>
    <row r="147" spans="1:6" ht="30" x14ac:dyDescent="0.25">
      <c r="A147" s="1" t="s">
        <v>87</v>
      </c>
      <c r="B147" s="2"/>
      <c r="C147" s="2" t="s">
        <v>91</v>
      </c>
      <c r="D147" s="2"/>
      <c r="E147" s="2"/>
      <c r="F147" s="3">
        <v>25577</v>
      </c>
    </row>
    <row r="148" spans="1:6" ht="30" x14ac:dyDescent="0.25">
      <c r="A148" s="1" t="s">
        <v>87</v>
      </c>
      <c r="B148" s="2"/>
      <c r="C148" s="2" t="s">
        <v>92</v>
      </c>
      <c r="D148" s="2"/>
      <c r="E148" s="2"/>
      <c r="F148" s="3">
        <v>25577</v>
      </c>
    </row>
    <row r="149" spans="1:6" ht="30" x14ac:dyDescent="0.25">
      <c r="A149" s="1" t="s">
        <v>87</v>
      </c>
      <c r="B149" s="2"/>
      <c r="C149" s="2" t="s">
        <v>93</v>
      </c>
      <c r="D149" s="2"/>
      <c r="E149" s="2"/>
      <c r="F149" s="3">
        <v>25577</v>
      </c>
    </row>
    <row r="150" spans="1:6" ht="30" x14ac:dyDescent="0.25">
      <c r="A150" s="1" t="s">
        <v>87</v>
      </c>
      <c r="B150" s="2"/>
      <c r="C150" s="2" t="s">
        <v>94</v>
      </c>
      <c r="D150" s="2"/>
      <c r="E150" s="2"/>
      <c r="F150" s="3">
        <v>25577</v>
      </c>
    </row>
    <row r="151" spans="1:6" ht="30" x14ac:dyDescent="0.25">
      <c r="A151" s="1" t="s">
        <v>87</v>
      </c>
      <c r="B151" s="2"/>
      <c r="C151" s="2" t="s">
        <v>95</v>
      </c>
      <c r="D151" s="2"/>
      <c r="E151" s="2"/>
      <c r="F151" s="3">
        <v>25577</v>
      </c>
    </row>
    <row r="152" spans="1:6" ht="30" x14ac:dyDescent="0.25">
      <c r="A152" s="1" t="s">
        <v>87</v>
      </c>
      <c r="B152" s="2"/>
      <c r="C152" s="2" t="s">
        <v>96</v>
      </c>
      <c r="D152" s="2"/>
      <c r="E152" s="2"/>
      <c r="F152" s="3">
        <v>25577</v>
      </c>
    </row>
    <row r="153" spans="1:6" ht="30" x14ac:dyDescent="0.25">
      <c r="A153" s="1" t="s">
        <v>87</v>
      </c>
      <c r="B153" s="2"/>
      <c r="C153" s="2" t="s">
        <v>97</v>
      </c>
      <c r="D153" s="2"/>
      <c r="E153" s="2"/>
      <c r="F153" s="3">
        <v>25577</v>
      </c>
    </row>
    <row r="154" spans="1:6" ht="30" x14ac:dyDescent="0.25">
      <c r="A154" s="1" t="s">
        <v>87</v>
      </c>
      <c r="B154" s="2"/>
      <c r="C154" s="2" t="s">
        <v>98</v>
      </c>
      <c r="D154" s="2"/>
      <c r="E154" s="2"/>
      <c r="F154" s="3">
        <v>25577</v>
      </c>
    </row>
    <row r="155" spans="1:6" ht="30" x14ac:dyDescent="0.25">
      <c r="A155" s="1" t="s">
        <v>87</v>
      </c>
      <c r="B155" s="2"/>
      <c r="C155" s="2" t="s">
        <v>99</v>
      </c>
      <c r="D155" s="2"/>
      <c r="E155" s="2"/>
      <c r="F155" s="3">
        <v>25577</v>
      </c>
    </row>
    <row r="156" spans="1:6" ht="30" x14ac:dyDescent="0.25">
      <c r="A156" s="1" t="s">
        <v>87</v>
      </c>
      <c r="B156" s="2"/>
      <c r="C156" s="2" t="s">
        <v>100</v>
      </c>
      <c r="D156" s="2"/>
      <c r="E156" s="2"/>
      <c r="F156" s="3">
        <v>25577</v>
      </c>
    </row>
    <row r="157" spans="1:6" ht="30" x14ac:dyDescent="0.25">
      <c r="A157" s="1" t="s">
        <v>87</v>
      </c>
      <c r="B157" s="2"/>
      <c r="C157" s="2" t="s">
        <v>101</v>
      </c>
      <c r="D157" s="2"/>
      <c r="E157" s="2"/>
      <c r="F157" s="3">
        <v>25577</v>
      </c>
    </row>
    <row r="158" spans="1:6" ht="30" x14ac:dyDescent="0.25">
      <c r="A158" s="1" t="s">
        <v>87</v>
      </c>
      <c r="B158" s="2"/>
      <c r="C158" s="2" t="s">
        <v>102</v>
      </c>
      <c r="D158" s="2"/>
      <c r="E158" s="2"/>
      <c r="F158" s="3">
        <v>25577</v>
      </c>
    </row>
    <row r="159" spans="1:6" ht="30" x14ac:dyDescent="0.25">
      <c r="A159" s="1" t="s">
        <v>87</v>
      </c>
      <c r="B159" s="2"/>
      <c r="C159" s="2" t="s">
        <v>103</v>
      </c>
      <c r="D159" s="2"/>
      <c r="E159" s="2"/>
      <c r="F159" s="3">
        <v>25577</v>
      </c>
    </row>
    <row r="160" spans="1:6" ht="30" x14ac:dyDescent="0.25">
      <c r="A160" s="1" t="s">
        <v>87</v>
      </c>
      <c r="B160" s="2"/>
      <c r="C160" s="2" t="s">
        <v>104</v>
      </c>
      <c r="D160" s="2"/>
      <c r="E160" s="2"/>
      <c r="F160" s="3">
        <v>25577</v>
      </c>
    </row>
    <row r="161" spans="1:6" ht="30" x14ac:dyDescent="0.25">
      <c r="A161" s="1" t="s">
        <v>87</v>
      </c>
      <c r="B161" s="2"/>
      <c r="C161" s="2" t="s">
        <v>105</v>
      </c>
      <c r="D161" s="2"/>
      <c r="E161" s="2"/>
      <c r="F161" s="3">
        <v>25577</v>
      </c>
    </row>
    <row r="162" spans="1:6" ht="30" x14ac:dyDescent="0.25">
      <c r="A162" s="1" t="s">
        <v>87</v>
      </c>
      <c r="B162" s="2"/>
      <c r="C162" s="2" t="s">
        <v>106</v>
      </c>
      <c r="D162" s="2"/>
      <c r="E162" s="2"/>
      <c r="F162" s="3">
        <v>25577</v>
      </c>
    </row>
    <row r="163" spans="1:6" ht="30" x14ac:dyDescent="0.25">
      <c r="A163" s="1" t="s">
        <v>87</v>
      </c>
      <c r="B163" s="2"/>
      <c r="C163" s="2" t="s">
        <v>107</v>
      </c>
      <c r="D163" s="2"/>
      <c r="E163" s="2"/>
      <c r="F163" s="3">
        <v>25577</v>
      </c>
    </row>
    <row r="164" spans="1:6" ht="30" x14ac:dyDescent="0.25">
      <c r="A164" s="1" t="s">
        <v>108</v>
      </c>
      <c r="B164" s="2"/>
      <c r="C164" s="2" t="s">
        <v>109</v>
      </c>
      <c r="D164" s="2"/>
      <c r="E164" s="2"/>
      <c r="F164" s="3">
        <v>14325</v>
      </c>
    </row>
    <row r="165" spans="1:6" ht="30" x14ac:dyDescent="0.25">
      <c r="A165" s="1" t="s">
        <v>108</v>
      </c>
      <c r="B165" s="2"/>
      <c r="C165" s="2" t="s">
        <v>110</v>
      </c>
      <c r="D165" s="2"/>
      <c r="E165" s="2"/>
      <c r="F165" s="3">
        <v>14325</v>
      </c>
    </row>
    <row r="166" spans="1:6" ht="30" x14ac:dyDescent="0.25">
      <c r="A166" s="1" t="s">
        <v>108</v>
      </c>
      <c r="B166" s="2"/>
      <c r="C166" s="2" t="s">
        <v>26</v>
      </c>
      <c r="D166" s="2"/>
      <c r="E166" s="2"/>
      <c r="F166" s="3">
        <v>14325</v>
      </c>
    </row>
    <row r="167" spans="1:6" ht="30" x14ac:dyDescent="0.25">
      <c r="A167" s="1" t="s">
        <v>108</v>
      </c>
      <c r="B167" s="2"/>
      <c r="C167" s="2" t="s">
        <v>105</v>
      </c>
      <c r="D167" s="2"/>
      <c r="E167" s="2"/>
      <c r="F167" s="3">
        <v>14325</v>
      </c>
    </row>
    <row r="168" spans="1:6" ht="30" x14ac:dyDescent="0.25">
      <c r="A168" s="1" t="s">
        <v>108</v>
      </c>
      <c r="B168" s="2"/>
      <c r="C168" s="2" t="s">
        <v>111</v>
      </c>
      <c r="D168" s="2"/>
      <c r="E168" s="2"/>
      <c r="F168" s="3">
        <v>14325</v>
      </c>
    </row>
    <row r="169" spans="1:6" ht="30" x14ac:dyDescent="0.25">
      <c r="A169" s="1" t="s">
        <v>108</v>
      </c>
      <c r="B169" s="2"/>
      <c r="C169" s="2" t="s">
        <v>103</v>
      </c>
      <c r="D169" s="2"/>
      <c r="E169" s="2"/>
      <c r="F169" s="3">
        <v>14325</v>
      </c>
    </row>
    <row r="170" spans="1:6" ht="30" x14ac:dyDescent="0.25">
      <c r="A170" s="1" t="s">
        <v>108</v>
      </c>
      <c r="B170" s="2"/>
      <c r="C170" s="2" t="s">
        <v>112</v>
      </c>
      <c r="D170" s="2"/>
      <c r="E170" s="2"/>
      <c r="F170" s="3">
        <v>14325</v>
      </c>
    </row>
    <row r="171" spans="1:6" ht="30" x14ac:dyDescent="0.25">
      <c r="A171" s="1" t="s">
        <v>108</v>
      </c>
      <c r="B171" s="2"/>
      <c r="C171" s="2" t="s">
        <v>93</v>
      </c>
      <c r="D171" s="2"/>
      <c r="E171" s="2"/>
      <c r="F171" s="3">
        <v>14325</v>
      </c>
    </row>
    <row r="172" spans="1:6" ht="30" x14ac:dyDescent="0.25">
      <c r="A172" s="1" t="s">
        <v>108</v>
      </c>
      <c r="B172" s="2"/>
      <c r="C172" s="2" t="s">
        <v>113</v>
      </c>
      <c r="D172" s="2"/>
      <c r="E172" s="2"/>
      <c r="F172" s="3">
        <v>14325</v>
      </c>
    </row>
    <row r="173" spans="1:6" ht="30" x14ac:dyDescent="0.25">
      <c r="A173" s="1" t="s">
        <v>108</v>
      </c>
      <c r="B173" s="2"/>
      <c r="C173" s="2" t="s">
        <v>114</v>
      </c>
      <c r="D173" s="2"/>
      <c r="E173" s="2"/>
      <c r="F173" s="3">
        <v>14325</v>
      </c>
    </row>
    <row r="174" spans="1:6" ht="30" x14ac:dyDescent="0.25">
      <c r="A174" s="1" t="s">
        <v>108</v>
      </c>
      <c r="B174" s="2"/>
      <c r="C174" s="2" t="s">
        <v>115</v>
      </c>
      <c r="D174" s="2"/>
      <c r="E174" s="2"/>
      <c r="F174" s="3">
        <v>14325</v>
      </c>
    </row>
    <row r="175" spans="1:6" ht="30" x14ac:dyDescent="0.25">
      <c r="A175" s="1" t="s">
        <v>108</v>
      </c>
      <c r="B175" s="2"/>
      <c r="C175" s="2" t="s">
        <v>95</v>
      </c>
      <c r="D175" s="2"/>
      <c r="E175" s="2"/>
      <c r="F175" s="3">
        <v>14325</v>
      </c>
    </row>
    <row r="176" spans="1:6" ht="30" x14ac:dyDescent="0.25">
      <c r="A176" s="1" t="s">
        <v>108</v>
      </c>
      <c r="B176" s="2"/>
      <c r="C176" s="2" t="s">
        <v>116</v>
      </c>
      <c r="D176" s="2"/>
      <c r="E176" s="2"/>
      <c r="F176" s="3">
        <v>14325</v>
      </c>
    </row>
    <row r="177" spans="1:6" ht="30" x14ac:dyDescent="0.25">
      <c r="A177" s="1" t="s">
        <v>108</v>
      </c>
      <c r="B177" s="2"/>
      <c r="C177" s="2" t="s">
        <v>117</v>
      </c>
      <c r="D177" s="2"/>
      <c r="E177" s="2"/>
      <c r="F177" s="3">
        <v>14325</v>
      </c>
    </row>
    <row r="178" spans="1:6" ht="30" x14ac:dyDescent="0.25">
      <c r="A178" s="1" t="s">
        <v>108</v>
      </c>
      <c r="B178" s="2"/>
      <c r="C178" s="2" t="s">
        <v>118</v>
      </c>
      <c r="D178" s="2"/>
      <c r="E178" s="2"/>
      <c r="F178" s="3">
        <v>14325</v>
      </c>
    </row>
    <row r="179" spans="1:6" ht="30" x14ac:dyDescent="0.25">
      <c r="A179" s="1" t="s">
        <v>108</v>
      </c>
      <c r="B179" s="2"/>
      <c r="C179" s="2" t="s">
        <v>119</v>
      </c>
      <c r="D179" s="2"/>
      <c r="E179" s="2"/>
      <c r="F179" s="3">
        <v>14325</v>
      </c>
    </row>
    <row r="180" spans="1:6" ht="30" x14ac:dyDescent="0.25">
      <c r="A180" s="1" t="s">
        <v>108</v>
      </c>
      <c r="B180" s="2"/>
      <c r="C180" s="2" t="s">
        <v>120</v>
      </c>
      <c r="D180" s="2"/>
      <c r="E180" s="2"/>
      <c r="F180" s="3">
        <v>14325</v>
      </c>
    </row>
    <row r="181" spans="1:6" ht="30" x14ac:dyDescent="0.25">
      <c r="A181" s="1" t="s">
        <v>108</v>
      </c>
      <c r="B181" s="2"/>
      <c r="C181" s="2" t="s">
        <v>89</v>
      </c>
      <c r="D181" s="2"/>
      <c r="E181" s="2"/>
      <c r="F181" s="3">
        <v>14325</v>
      </c>
    </row>
    <row r="182" spans="1:6" ht="30" x14ac:dyDescent="0.25">
      <c r="A182" s="1" t="s">
        <v>108</v>
      </c>
      <c r="B182" s="2"/>
      <c r="C182" s="2" t="s">
        <v>121</v>
      </c>
      <c r="D182" s="2"/>
      <c r="E182" s="2"/>
      <c r="F182" s="3">
        <v>14325</v>
      </c>
    </row>
    <row r="183" spans="1:6" ht="30" x14ac:dyDescent="0.25">
      <c r="A183" s="1" t="s">
        <v>108</v>
      </c>
      <c r="B183" s="2"/>
      <c r="C183" s="2" t="s">
        <v>122</v>
      </c>
      <c r="D183" s="2"/>
      <c r="E183" s="2"/>
      <c r="F183" s="3">
        <v>14325</v>
      </c>
    </row>
    <row r="184" spans="1:6" ht="30" x14ac:dyDescent="0.25">
      <c r="A184" s="1" t="s">
        <v>108</v>
      </c>
      <c r="B184" s="2"/>
      <c r="C184" s="2" t="s">
        <v>123</v>
      </c>
      <c r="D184" s="2"/>
      <c r="E184" s="2"/>
      <c r="F184" s="3">
        <v>14325</v>
      </c>
    </row>
    <row r="185" spans="1:6" ht="30" x14ac:dyDescent="0.25">
      <c r="A185" s="1" t="s">
        <v>124</v>
      </c>
      <c r="B185" s="2"/>
      <c r="C185" s="2" t="s">
        <v>26</v>
      </c>
      <c r="D185" s="2"/>
      <c r="E185" s="2"/>
      <c r="F185" s="3">
        <v>14325</v>
      </c>
    </row>
    <row r="186" spans="1:6" ht="30" x14ac:dyDescent="0.25">
      <c r="A186" s="1" t="s">
        <v>124</v>
      </c>
      <c r="B186" s="2"/>
      <c r="C186" s="2" t="s">
        <v>125</v>
      </c>
      <c r="D186" s="2"/>
      <c r="E186" s="2"/>
      <c r="F186" s="3">
        <v>14325</v>
      </c>
    </row>
    <row r="187" spans="1:6" ht="30" x14ac:dyDescent="0.25">
      <c r="A187" s="1" t="s">
        <v>124</v>
      </c>
      <c r="B187" s="2"/>
      <c r="C187" s="2" t="s">
        <v>126</v>
      </c>
      <c r="D187" s="2"/>
      <c r="E187" s="2"/>
      <c r="F187" s="3">
        <v>14325</v>
      </c>
    </row>
    <row r="188" spans="1:6" ht="30" x14ac:dyDescent="0.25">
      <c r="A188" s="1" t="s">
        <v>124</v>
      </c>
      <c r="B188" s="2"/>
      <c r="C188" s="2" t="s">
        <v>127</v>
      </c>
      <c r="D188" s="2"/>
      <c r="E188" s="2"/>
      <c r="F188" s="3">
        <v>14325</v>
      </c>
    </row>
    <row r="189" spans="1:6" ht="30" x14ac:dyDescent="0.25">
      <c r="A189" s="1" t="s">
        <v>124</v>
      </c>
      <c r="B189" s="2"/>
      <c r="C189" s="2" t="s">
        <v>62</v>
      </c>
      <c r="D189" s="2"/>
      <c r="E189" s="2"/>
      <c r="F189" s="3">
        <v>14325</v>
      </c>
    </row>
    <row r="190" spans="1:6" ht="30" x14ac:dyDescent="0.25">
      <c r="A190" s="1" t="s">
        <v>124</v>
      </c>
      <c r="B190" s="2"/>
      <c r="C190" s="2" t="s">
        <v>128</v>
      </c>
      <c r="D190" s="2"/>
      <c r="E190" s="2"/>
      <c r="F190" s="3">
        <v>14325</v>
      </c>
    </row>
    <row r="191" spans="1:6" ht="30" x14ac:dyDescent="0.25">
      <c r="A191" s="1" t="s">
        <v>124</v>
      </c>
      <c r="B191" s="2"/>
      <c r="C191" s="2" t="s">
        <v>93</v>
      </c>
      <c r="D191" s="2"/>
      <c r="E191" s="2"/>
      <c r="F191" s="3">
        <v>14325</v>
      </c>
    </row>
    <row r="192" spans="1:6" ht="30" x14ac:dyDescent="0.25">
      <c r="A192" s="1" t="s">
        <v>124</v>
      </c>
      <c r="B192" s="2"/>
      <c r="C192" s="2" t="s">
        <v>129</v>
      </c>
      <c r="D192" s="2"/>
      <c r="E192" s="2"/>
      <c r="F192" s="3">
        <v>14325</v>
      </c>
    </row>
    <row r="193" spans="1:6" ht="30" x14ac:dyDescent="0.25">
      <c r="A193" s="1" t="s">
        <v>124</v>
      </c>
      <c r="B193" s="2"/>
      <c r="C193" s="2" t="s">
        <v>130</v>
      </c>
      <c r="D193" s="2"/>
      <c r="E193" s="2"/>
      <c r="F193" s="3">
        <v>14325</v>
      </c>
    </row>
    <row r="194" spans="1:6" ht="30" x14ac:dyDescent="0.25">
      <c r="A194" s="1" t="s">
        <v>124</v>
      </c>
      <c r="B194" s="2"/>
      <c r="C194" s="2" t="s">
        <v>111</v>
      </c>
      <c r="D194" s="2"/>
      <c r="E194" s="2"/>
      <c r="F194" s="3">
        <v>14325</v>
      </c>
    </row>
    <row r="195" spans="1:6" x14ac:dyDescent="0.25">
      <c r="A195" s="1" t="s">
        <v>131</v>
      </c>
      <c r="B195" s="2"/>
      <c r="C195" s="2" t="s">
        <v>14</v>
      </c>
      <c r="D195" s="2"/>
      <c r="E195" s="2"/>
      <c r="F195" s="3">
        <v>14000</v>
      </c>
    </row>
    <row r="196" spans="1:6" x14ac:dyDescent="0.25">
      <c r="A196" s="1" t="s">
        <v>131</v>
      </c>
      <c r="B196" s="2"/>
      <c r="C196" s="2" t="s">
        <v>132</v>
      </c>
      <c r="D196" s="2"/>
      <c r="E196" s="2"/>
      <c r="F196" s="3">
        <v>14000</v>
      </c>
    </row>
    <row r="197" spans="1:6" x14ac:dyDescent="0.25">
      <c r="A197" s="1" t="s">
        <v>131</v>
      </c>
      <c r="B197" s="2"/>
      <c r="C197" s="2" t="s">
        <v>133</v>
      </c>
      <c r="D197" s="2"/>
      <c r="E197" s="2"/>
      <c r="F197" s="3">
        <v>14000</v>
      </c>
    </row>
    <row r="198" spans="1:6" x14ac:dyDescent="0.25">
      <c r="A198" s="1" t="s">
        <v>131</v>
      </c>
      <c r="B198" s="2"/>
      <c r="C198" s="2" t="s">
        <v>22</v>
      </c>
      <c r="D198" s="2"/>
      <c r="E198" s="2"/>
      <c r="F198" s="3">
        <v>14000</v>
      </c>
    </row>
    <row r="199" spans="1:6" x14ac:dyDescent="0.25">
      <c r="A199" s="1" t="s">
        <v>131</v>
      </c>
      <c r="B199" s="2"/>
      <c r="C199" s="2" t="s">
        <v>24</v>
      </c>
      <c r="D199" s="2"/>
      <c r="E199" s="2"/>
      <c r="F199" s="3">
        <v>14000</v>
      </c>
    </row>
    <row r="200" spans="1:6" x14ac:dyDescent="0.25">
      <c r="A200" s="1" t="s">
        <v>131</v>
      </c>
      <c r="B200" s="2"/>
      <c r="C200" s="2" t="s">
        <v>134</v>
      </c>
      <c r="D200" s="2"/>
      <c r="E200" s="2"/>
      <c r="F200" s="3">
        <f>14000+1000</f>
        <v>15000</v>
      </c>
    </row>
    <row r="201" spans="1:6" ht="30" x14ac:dyDescent="0.25">
      <c r="A201" s="1" t="s">
        <v>135</v>
      </c>
      <c r="B201" s="2"/>
      <c r="C201" s="2" t="s">
        <v>132</v>
      </c>
      <c r="D201" s="2"/>
      <c r="E201" s="2"/>
      <c r="F201" s="3">
        <v>26000</v>
      </c>
    </row>
    <row r="202" spans="1:6" ht="30" x14ac:dyDescent="0.25">
      <c r="A202" s="1" t="s">
        <v>135</v>
      </c>
      <c r="B202" s="2"/>
      <c r="C202" s="2" t="s">
        <v>22</v>
      </c>
      <c r="D202" s="2"/>
      <c r="E202" s="2"/>
      <c r="F202" s="3">
        <v>26000</v>
      </c>
    </row>
    <row r="203" spans="1:6" ht="30" x14ac:dyDescent="0.25">
      <c r="A203" s="1" t="s">
        <v>136</v>
      </c>
      <c r="B203" s="2"/>
      <c r="C203" s="2" t="s">
        <v>14</v>
      </c>
      <c r="D203" s="2" t="s">
        <v>137</v>
      </c>
      <c r="E203" s="2"/>
      <c r="F203" s="3">
        <v>24000</v>
      </c>
    </row>
    <row r="204" spans="1:6" ht="30" x14ac:dyDescent="0.25">
      <c r="A204" s="1" t="s">
        <v>136</v>
      </c>
      <c r="B204" s="2"/>
      <c r="C204" s="2"/>
      <c r="D204" s="2" t="s">
        <v>35</v>
      </c>
      <c r="E204" s="2"/>
      <c r="F204" s="3">
        <v>39000</v>
      </c>
    </row>
    <row r="205" spans="1:6" ht="30" x14ac:dyDescent="0.25">
      <c r="A205" s="1" t="s">
        <v>136</v>
      </c>
      <c r="B205" s="2"/>
      <c r="C205" s="2" t="s">
        <v>22</v>
      </c>
      <c r="D205" s="2" t="s">
        <v>15</v>
      </c>
      <c r="E205" s="2"/>
      <c r="F205" s="3">
        <v>24000</v>
      </c>
    </row>
    <row r="206" spans="1:6" ht="30" x14ac:dyDescent="0.25">
      <c r="A206" s="1" t="s">
        <v>136</v>
      </c>
      <c r="B206" s="2"/>
      <c r="C206" s="2"/>
      <c r="D206" s="2" t="s">
        <v>35</v>
      </c>
      <c r="E206" s="2"/>
      <c r="F206" s="3">
        <v>39000</v>
      </c>
    </row>
    <row r="207" spans="1:6" ht="30" x14ac:dyDescent="0.25">
      <c r="A207" s="1" t="s">
        <v>138</v>
      </c>
      <c r="B207" s="2"/>
      <c r="C207" s="2" t="s">
        <v>139</v>
      </c>
      <c r="D207" s="2"/>
      <c r="E207" s="2"/>
      <c r="F207" s="3">
        <v>27000</v>
      </c>
    </row>
    <row r="208" spans="1:6" ht="30" x14ac:dyDescent="0.25">
      <c r="A208" s="1" t="s">
        <v>138</v>
      </c>
      <c r="B208" s="2"/>
      <c r="C208" s="2" t="s">
        <v>28</v>
      </c>
      <c r="D208" s="2"/>
      <c r="E208" s="2"/>
      <c r="F208" s="3">
        <v>27000</v>
      </c>
    </row>
    <row r="209" spans="1:6" ht="30" x14ac:dyDescent="0.25">
      <c r="A209" s="1" t="s">
        <v>138</v>
      </c>
      <c r="B209" s="2"/>
      <c r="C209" s="2" t="s">
        <v>30</v>
      </c>
      <c r="D209" s="2"/>
      <c r="E209" s="2"/>
      <c r="F209" s="3">
        <v>27000</v>
      </c>
    </row>
    <row r="210" spans="1:6" ht="30" x14ac:dyDescent="0.25">
      <c r="A210" s="1" t="s">
        <v>138</v>
      </c>
      <c r="B210" s="2"/>
      <c r="C210" s="2" t="s">
        <v>22</v>
      </c>
      <c r="D210" s="2"/>
      <c r="E210" s="2"/>
      <c r="F210" s="3">
        <v>27000</v>
      </c>
    </row>
    <row r="211" spans="1:6" ht="30" x14ac:dyDescent="0.25">
      <c r="A211" s="1" t="s">
        <v>140</v>
      </c>
      <c r="B211" s="2" t="s">
        <v>141</v>
      </c>
      <c r="C211" s="2"/>
      <c r="D211" s="2"/>
      <c r="E211" s="2"/>
      <c r="F211" s="3">
        <v>4200</v>
      </c>
    </row>
    <row r="212" spans="1:6" ht="30" x14ac:dyDescent="0.25">
      <c r="A212" s="1" t="s">
        <v>140</v>
      </c>
      <c r="B212" s="2" t="s">
        <v>142</v>
      </c>
      <c r="C212" s="2"/>
      <c r="D212" s="2"/>
      <c r="E212" s="2"/>
      <c r="F212" s="3">
        <v>4200</v>
      </c>
    </row>
    <row r="213" spans="1:6" ht="30" x14ac:dyDescent="0.25">
      <c r="A213" s="1" t="s">
        <v>140</v>
      </c>
      <c r="B213" s="2" t="s">
        <v>143</v>
      </c>
      <c r="C213" s="2"/>
      <c r="D213" s="2"/>
      <c r="E213" s="2"/>
      <c r="F213" s="3">
        <v>4200</v>
      </c>
    </row>
    <row r="214" spans="1:6" ht="30" x14ac:dyDescent="0.25">
      <c r="A214" s="1" t="s">
        <v>140</v>
      </c>
      <c r="B214" s="2" t="s">
        <v>144</v>
      </c>
      <c r="C214" s="2"/>
      <c r="D214" s="2"/>
      <c r="E214" s="2"/>
      <c r="F214" s="3">
        <v>4200</v>
      </c>
    </row>
    <row r="215" spans="1:6" ht="30" x14ac:dyDescent="0.25">
      <c r="A215" s="1" t="s">
        <v>140</v>
      </c>
      <c r="B215" s="2" t="s">
        <v>145</v>
      </c>
      <c r="C215" s="2"/>
      <c r="D215" s="2"/>
      <c r="E215" s="2"/>
      <c r="F215" s="3">
        <v>4200</v>
      </c>
    </row>
    <row r="216" spans="1:6" ht="30" x14ac:dyDescent="0.25">
      <c r="A216" s="1" t="s">
        <v>140</v>
      </c>
      <c r="B216" s="2" t="s">
        <v>146</v>
      </c>
      <c r="C216" s="2"/>
      <c r="D216" s="2"/>
      <c r="E216" s="2"/>
      <c r="F216" s="3">
        <v>4200</v>
      </c>
    </row>
    <row r="217" spans="1:6" ht="30" x14ac:dyDescent="0.25">
      <c r="A217" s="1" t="s">
        <v>140</v>
      </c>
      <c r="B217" s="2" t="s">
        <v>147</v>
      </c>
      <c r="C217" s="2"/>
      <c r="D217" s="2"/>
      <c r="E217" s="2"/>
      <c r="F217" s="3">
        <v>25200</v>
      </c>
    </row>
    <row r="218" spans="1:6" ht="30" x14ac:dyDescent="0.25">
      <c r="A218" s="1" t="s">
        <v>148</v>
      </c>
      <c r="B218" s="2" t="s">
        <v>149</v>
      </c>
      <c r="C218" s="2"/>
      <c r="D218" s="2"/>
      <c r="E218" s="2"/>
      <c r="F218" s="3">
        <v>4200</v>
      </c>
    </row>
    <row r="219" spans="1:6" ht="30" x14ac:dyDescent="0.25">
      <c r="A219" s="1" t="s">
        <v>148</v>
      </c>
      <c r="B219" s="2" t="s">
        <v>150</v>
      </c>
      <c r="C219" s="2"/>
      <c r="D219" s="2"/>
      <c r="E219" s="2"/>
      <c r="F219" s="3">
        <v>4200</v>
      </c>
    </row>
    <row r="220" spans="1:6" ht="30" x14ac:dyDescent="0.25">
      <c r="A220" s="1" t="s">
        <v>148</v>
      </c>
      <c r="B220" s="2" t="s">
        <v>151</v>
      </c>
      <c r="C220" s="2"/>
      <c r="D220" s="2"/>
      <c r="E220" s="2"/>
      <c r="F220" s="3">
        <v>4200</v>
      </c>
    </row>
    <row r="221" spans="1:6" ht="30" x14ac:dyDescent="0.25">
      <c r="A221" s="1" t="s">
        <v>148</v>
      </c>
      <c r="B221" s="2" t="s">
        <v>152</v>
      </c>
      <c r="C221" s="2"/>
      <c r="D221" s="2"/>
      <c r="E221" s="2"/>
      <c r="F221" s="3">
        <v>4200</v>
      </c>
    </row>
    <row r="222" spans="1:6" ht="30" x14ac:dyDescent="0.25">
      <c r="A222" s="1" t="s">
        <v>148</v>
      </c>
      <c r="B222" s="2" t="s">
        <v>153</v>
      </c>
      <c r="C222" s="2"/>
      <c r="D222" s="2"/>
      <c r="E222" s="2"/>
      <c r="F222" s="3">
        <v>4200</v>
      </c>
    </row>
    <row r="223" spans="1:6" ht="30" x14ac:dyDescent="0.25">
      <c r="A223" s="1" t="s">
        <v>148</v>
      </c>
      <c r="B223" s="2" t="s">
        <v>154</v>
      </c>
      <c r="C223" s="2"/>
      <c r="D223" s="2"/>
      <c r="E223" s="2"/>
      <c r="F223" s="3">
        <v>4200</v>
      </c>
    </row>
    <row r="224" spans="1:6" ht="30" x14ac:dyDescent="0.25">
      <c r="A224" s="1" t="s">
        <v>148</v>
      </c>
      <c r="B224" s="2" t="s">
        <v>155</v>
      </c>
      <c r="C224" s="2"/>
      <c r="D224" s="2"/>
      <c r="E224" s="2"/>
      <c r="F224" s="3">
        <v>25200</v>
      </c>
    </row>
    <row r="225" spans="1:6" x14ac:dyDescent="0.25">
      <c r="A225" s="1" t="s">
        <v>156</v>
      </c>
      <c r="B225" s="2" t="s">
        <v>157</v>
      </c>
      <c r="C225" s="2"/>
      <c r="D225" s="2"/>
      <c r="E225" s="2"/>
      <c r="F225" s="3">
        <f>2500+1100</f>
        <v>3600</v>
      </c>
    </row>
    <row r="226" spans="1:6" x14ac:dyDescent="0.25">
      <c r="A226" s="1" t="s">
        <v>156</v>
      </c>
      <c r="B226" s="2" t="s">
        <v>158</v>
      </c>
      <c r="C226" s="2"/>
      <c r="D226" s="2"/>
      <c r="E226" s="2"/>
      <c r="F226" s="3">
        <f t="shared" ref="F226:F231" si="0">2500+1100</f>
        <v>3600</v>
      </c>
    </row>
    <row r="227" spans="1:6" x14ac:dyDescent="0.25">
      <c r="A227" s="1" t="s">
        <v>156</v>
      </c>
      <c r="B227" s="2" t="s">
        <v>159</v>
      </c>
      <c r="C227" s="2"/>
      <c r="D227" s="2"/>
      <c r="E227" s="2"/>
      <c r="F227" s="3">
        <f t="shared" si="0"/>
        <v>3600</v>
      </c>
    </row>
    <row r="228" spans="1:6" x14ac:dyDescent="0.25">
      <c r="A228" s="1" t="s">
        <v>156</v>
      </c>
      <c r="B228" s="2" t="s">
        <v>160</v>
      </c>
      <c r="C228" s="2"/>
      <c r="D228" s="2"/>
      <c r="E228" s="2"/>
      <c r="F228" s="3">
        <f t="shared" si="0"/>
        <v>3600</v>
      </c>
    </row>
    <row r="229" spans="1:6" x14ac:dyDescent="0.25">
      <c r="A229" s="1" t="s">
        <v>156</v>
      </c>
      <c r="B229" s="2" t="s">
        <v>161</v>
      </c>
      <c r="C229" s="2"/>
      <c r="D229" s="2"/>
      <c r="E229" s="2"/>
      <c r="F229" s="3">
        <f t="shared" si="0"/>
        <v>3600</v>
      </c>
    </row>
    <row r="230" spans="1:6" x14ac:dyDescent="0.25">
      <c r="A230" s="1" t="s">
        <v>156</v>
      </c>
      <c r="B230" s="2" t="s">
        <v>162</v>
      </c>
      <c r="C230" s="2"/>
      <c r="D230" s="2"/>
      <c r="E230" s="2"/>
      <c r="F230" s="3">
        <f t="shared" si="0"/>
        <v>3600</v>
      </c>
    </row>
    <row r="231" spans="1:6" x14ac:dyDescent="0.25">
      <c r="A231" s="1" t="s">
        <v>156</v>
      </c>
      <c r="B231" s="2" t="s">
        <v>163</v>
      </c>
      <c r="C231" s="2"/>
      <c r="D231" s="2"/>
      <c r="E231" s="2"/>
      <c r="F231" s="3">
        <f t="shared" si="0"/>
        <v>3600</v>
      </c>
    </row>
    <row r="232" spans="1:6" ht="30" x14ac:dyDescent="0.25">
      <c r="A232" s="1" t="s">
        <v>164</v>
      </c>
      <c r="B232" s="2" t="s">
        <v>165</v>
      </c>
      <c r="C232" s="2"/>
      <c r="D232" s="2"/>
      <c r="E232" s="2"/>
      <c r="F232" s="3">
        <v>8100</v>
      </c>
    </row>
    <row r="233" spans="1:6" ht="30" x14ac:dyDescent="0.25">
      <c r="A233" s="1" t="s">
        <v>164</v>
      </c>
      <c r="B233" s="2" t="s">
        <v>166</v>
      </c>
      <c r="C233" s="2"/>
      <c r="D233" s="2"/>
      <c r="E233" s="2"/>
      <c r="F233" s="3">
        <v>8100</v>
      </c>
    </row>
    <row r="234" spans="1:6" ht="30" x14ac:dyDescent="0.25">
      <c r="A234" s="1" t="s">
        <v>164</v>
      </c>
      <c r="B234" s="2" t="s">
        <v>167</v>
      </c>
      <c r="C234" s="2"/>
      <c r="D234" s="2"/>
      <c r="E234" s="2"/>
      <c r="F234" s="3">
        <v>8100</v>
      </c>
    </row>
    <row r="235" spans="1:6" ht="30" x14ac:dyDescent="0.25">
      <c r="A235" s="1" t="s">
        <v>164</v>
      </c>
      <c r="B235" s="2" t="s">
        <v>168</v>
      </c>
      <c r="C235" s="2"/>
      <c r="D235" s="2"/>
      <c r="E235" s="2"/>
      <c r="F235" s="3">
        <v>8100</v>
      </c>
    </row>
    <row r="236" spans="1:6" ht="30" x14ac:dyDescent="0.25">
      <c r="A236" s="1" t="s">
        <v>164</v>
      </c>
      <c r="B236" s="2" t="s">
        <v>169</v>
      </c>
      <c r="C236" s="2"/>
      <c r="D236" s="2"/>
      <c r="E236" s="2"/>
      <c r="F236" s="3">
        <v>8100</v>
      </c>
    </row>
    <row r="237" spans="1:6" ht="30" x14ac:dyDescent="0.25">
      <c r="A237" s="1" t="s">
        <v>164</v>
      </c>
      <c r="B237" s="2" t="s">
        <v>170</v>
      </c>
      <c r="C237" s="2"/>
      <c r="D237" s="2"/>
      <c r="E237" s="2"/>
      <c r="F237" s="3">
        <v>8100</v>
      </c>
    </row>
    <row r="238" spans="1:6" ht="30" x14ac:dyDescent="0.25">
      <c r="A238" s="1" t="s">
        <v>164</v>
      </c>
      <c r="B238" s="2" t="s">
        <v>147</v>
      </c>
      <c r="C238" s="2"/>
      <c r="D238" s="2"/>
      <c r="E238" s="2"/>
      <c r="F238" s="3">
        <v>48600</v>
      </c>
    </row>
    <row r="239" spans="1:6" ht="45" x14ac:dyDescent="0.25">
      <c r="A239" s="1" t="s">
        <v>171</v>
      </c>
      <c r="B239" s="2"/>
      <c r="C239" s="2" t="s">
        <v>22</v>
      </c>
      <c r="D239" s="2"/>
      <c r="E239" s="2"/>
      <c r="F239" s="3">
        <v>75000</v>
      </c>
    </row>
    <row r="240" spans="1:6" ht="45" x14ac:dyDescent="0.25">
      <c r="A240" s="1" t="s">
        <v>171</v>
      </c>
      <c r="B240" s="2"/>
      <c r="C240" s="2" t="s">
        <v>14</v>
      </c>
      <c r="D240" s="2"/>
      <c r="E240" s="2"/>
      <c r="F240" s="3">
        <v>75000</v>
      </c>
    </row>
    <row r="241" spans="1:6" ht="45" x14ac:dyDescent="0.25">
      <c r="A241" s="1" t="s">
        <v>171</v>
      </c>
      <c r="B241" s="2"/>
      <c r="C241" s="2" t="s">
        <v>115</v>
      </c>
      <c r="D241" s="2"/>
      <c r="E241" s="2"/>
      <c r="F241" s="3">
        <v>75000</v>
      </c>
    </row>
    <row r="242" spans="1:6" ht="45" x14ac:dyDescent="0.25">
      <c r="A242" s="1" t="s">
        <v>172</v>
      </c>
      <c r="B242" s="2"/>
      <c r="C242" s="2"/>
      <c r="D242" s="2"/>
      <c r="E242" s="2"/>
      <c r="F242" s="3">
        <v>7200</v>
      </c>
    </row>
    <row r="243" spans="1:6" x14ac:dyDescent="0.25">
      <c r="A243" s="1" t="s">
        <v>173</v>
      </c>
      <c r="B243" s="2"/>
      <c r="C243" s="2"/>
      <c r="D243" s="2"/>
      <c r="E243" s="2"/>
      <c r="F243" s="3">
        <v>21000</v>
      </c>
    </row>
    <row r="244" spans="1:6" x14ac:dyDescent="0.25">
      <c r="A244" s="1" t="s">
        <v>174</v>
      </c>
      <c r="B244" s="2"/>
      <c r="C244" s="2"/>
      <c r="D244" s="2"/>
      <c r="E244" s="2"/>
      <c r="F244" s="3">
        <v>14000</v>
      </c>
    </row>
    <row r="245" spans="1:6" ht="30" x14ac:dyDescent="0.25">
      <c r="A245" s="1" t="s">
        <v>175</v>
      </c>
      <c r="B245" s="2"/>
      <c r="C245" s="2" t="s">
        <v>26</v>
      </c>
      <c r="D245" s="2"/>
      <c r="E245" s="2"/>
      <c r="F245" s="3">
        <v>95000</v>
      </c>
    </row>
    <row r="246" spans="1:6" ht="30" x14ac:dyDescent="0.25">
      <c r="A246" s="1" t="s">
        <v>175</v>
      </c>
      <c r="B246" s="2"/>
      <c r="C246" s="2" t="s">
        <v>120</v>
      </c>
      <c r="D246" s="2"/>
      <c r="E246" s="2"/>
      <c r="F246" s="3">
        <v>95000</v>
      </c>
    </row>
    <row r="247" spans="1:6" ht="30" x14ac:dyDescent="0.25">
      <c r="A247" s="1" t="s">
        <v>176</v>
      </c>
      <c r="B247" s="2" t="s">
        <v>177</v>
      </c>
      <c r="C247" s="2"/>
      <c r="D247" s="2"/>
      <c r="E247" s="2"/>
      <c r="F247" s="3">
        <f>64800/6</f>
        <v>10800</v>
      </c>
    </row>
    <row r="248" spans="1:6" ht="30" x14ac:dyDescent="0.25">
      <c r="A248" s="1" t="s">
        <v>176</v>
      </c>
      <c r="B248" s="2" t="s">
        <v>178</v>
      </c>
      <c r="C248" s="2"/>
      <c r="D248" s="2"/>
      <c r="E248" s="2"/>
      <c r="F248" s="3">
        <f t="shared" ref="F248:F252" si="1">64800/6</f>
        <v>10800</v>
      </c>
    </row>
    <row r="249" spans="1:6" ht="30" x14ac:dyDescent="0.25">
      <c r="A249" s="1" t="s">
        <v>176</v>
      </c>
      <c r="B249" s="2" t="s">
        <v>179</v>
      </c>
      <c r="C249" s="2"/>
      <c r="D249" s="2"/>
      <c r="E249" s="2"/>
      <c r="F249" s="3">
        <f t="shared" si="1"/>
        <v>10800</v>
      </c>
    </row>
    <row r="250" spans="1:6" ht="30" x14ac:dyDescent="0.25">
      <c r="A250" s="1" t="s">
        <v>176</v>
      </c>
      <c r="B250" s="2" t="s">
        <v>180</v>
      </c>
      <c r="C250" s="2"/>
      <c r="D250" s="2"/>
      <c r="E250" s="2"/>
      <c r="F250" s="3">
        <f t="shared" si="1"/>
        <v>10800</v>
      </c>
    </row>
    <row r="251" spans="1:6" ht="30" x14ac:dyDescent="0.25">
      <c r="A251" s="1" t="s">
        <v>176</v>
      </c>
      <c r="B251" s="2" t="s">
        <v>181</v>
      </c>
      <c r="C251" s="2"/>
      <c r="D251" s="2"/>
      <c r="E251" s="2"/>
      <c r="F251" s="3">
        <f t="shared" si="1"/>
        <v>10800</v>
      </c>
    </row>
    <row r="252" spans="1:6" ht="30" x14ac:dyDescent="0.25">
      <c r="A252" s="1" t="s">
        <v>176</v>
      </c>
      <c r="B252" s="2" t="s">
        <v>182</v>
      </c>
      <c r="C252" s="2"/>
      <c r="D252" s="2"/>
      <c r="E252" s="2"/>
      <c r="F252" s="3">
        <f t="shared" si="1"/>
        <v>10800</v>
      </c>
    </row>
    <row r="253" spans="1:6" ht="30" x14ac:dyDescent="0.25">
      <c r="A253" s="1" t="s">
        <v>176</v>
      </c>
      <c r="B253" s="2" t="s">
        <v>183</v>
      </c>
      <c r="C253" s="2"/>
      <c r="D253" s="2"/>
      <c r="E253" s="2"/>
      <c r="F253" s="3">
        <v>64800</v>
      </c>
    </row>
    <row r="254" spans="1:6" ht="30" x14ac:dyDescent="0.25">
      <c r="A254" s="1" t="s">
        <v>184</v>
      </c>
      <c r="B254" s="2"/>
      <c r="C254" s="2"/>
      <c r="D254" s="2"/>
      <c r="E254" s="2"/>
      <c r="F254" s="3">
        <v>12000</v>
      </c>
    </row>
    <row r="255" spans="1:6" ht="30" x14ac:dyDescent="0.25">
      <c r="A255" s="1" t="s">
        <v>185</v>
      </c>
      <c r="B255" s="2"/>
      <c r="C255" s="2"/>
      <c r="D255" s="2"/>
      <c r="E255" s="2" t="s">
        <v>186</v>
      </c>
      <c r="F255" s="3">
        <f>175</f>
        <v>175</v>
      </c>
    </row>
    <row r="256" spans="1:6" ht="30" x14ac:dyDescent="0.25">
      <c r="A256" s="1" t="s">
        <v>185</v>
      </c>
      <c r="B256" s="2"/>
      <c r="C256" s="2"/>
      <c r="D256" s="2"/>
      <c r="E256" s="2" t="s">
        <v>187</v>
      </c>
      <c r="F256" s="3">
        <f>175</f>
        <v>175</v>
      </c>
    </row>
    <row r="257" spans="1:6" ht="30" x14ac:dyDescent="0.25">
      <c r="A257" s="1" t="s">
        <v>185</v>
      </c>
      <c r="B257" s="2"/>
      <c r="C257" s="2"/>
      <c r="D257" s="2"/>
      <c r="E257" s="2" t="s">
        <v>188</v>
      </c>
      <c r="F257" s="3">
        <f>175</f>
        <v>175</v>
      </c>
    </row>
    <row r="258" spans="1:6" ht="30" x14ac:dyDescent="0.25">
      <c r="A258" s="1" t="s">
        <v>185</v>
      </c>
      <c r="B258" s="2"/>
      <c r="C258" s="2"/>
      <c r="D258" s="2"/>
      <c r="E258" s="2" t="s">
        <v>189</v>
      </c>
      <c r="F258" s="3">
        <f>175</f>
        <v>175</v>
      </c>
    </row>
    <row r="259" spans="1:6" ht="30" x14ac:dyDescent="0.25">
      <c r="A259" s="1" t="s">
        <v>185</v>
      </c>
      <c r="B259" s="2"/>
      <c r="C259" s="2"/>
      <c r="D259" s="2"/>
      <c r="E259" s="2" t="s">
        <v>190</v>
      </c>
      <c r="F259" s="3">
        <f>175</f>
        <v>175</v>
      </c>
    </row>
    <row r="260" spans="1:6" ht="30" x14ac:dyDescent="0.25">
      <c r="A260" s="1" t="s">
        <v>191</v>
      </c>
      <c r="B260" s="2"/>
      <c r="C260" s="2"/>
      <c r="D260" s="2"/>
      <c r="E260" s="2" t="s">
        <v>192</v>
      </c>
      <c r="F260" s="3">
        <f>175</f>
        <v>175</v>
      </c>
    </row>
    <row r="261" spans="1:6" ht="30" x14ac:dyDescent="0.25">
      <c r="A261" s="1" t="s">
        <v>191</v>
      </c>
      <c r="B261" s="2"/>
      <c r="C261" s="2"/>
      <c r="D261" s="2"/>
      <c r="E261" s="2" t="s">
        <v>193</v>
      </c>
      <c r="F261" s="3">
        <f>175</f>
        <v>175</v>
      </c>
    </row>
    <row r="262" spans="1:6" ht="30" x14ac:dyDescent="0.25">
      <c r="A262" s="1" t="s">
        <v>191</v>
      </c>
      <c r="B262" s="2"/>
      <c r="C262" s="2"/>
      <c r="D262" s="2"/>
      <c r="E262" s="2" t="s">
        <v>194</v>
      </c>
      <c r="F262" s="3">
        <f>175</f>
        <v>175</v>
      </c>
    </row>
    <row r="263" spans="1:6" ht="30" x14ac:dyDescent="0.25">
      <c r="A263" s="1" t="s">
        <v>191</v>
      </c>
      <c r="B263" s="2"/>
      <c r="C263" s="2"/>
      <c r="D263" s="2"/>
      <c r="E263" s="2" t="s">
        <v>195</v>
      </c>
      <c r="F263" s="3">
        <f>175</f>
        <v>175</v>
      </c>
    </row>
    <row r="264" spans="1:6" ht="30" x14ac:dyDescent="0.25">
      <c r="A264" s="1" t="s">
        <v>191</v>
      </c>
      <c r="B264" s="2"/>
      <c r="C264" s="2"/>
      <c r="D264" s="2"/>
      <c r="E264" s="2" t="s">
        <v>196</v>
      </c>
      <c r="F264" s="3">
        <f>175</f>
        <v>175</v>
      </c>
    </row>
    <row r="265" spans="1:6" ht="30" x14ac:dyDescent="0.25">
      <c r="A265" s="1" t="s">
        <v>191</v>
      </c>
      <c r="B265" s="2"/>
      <c r="C265" s="2"/>
      <c r="D265" s="2"/>
      <c r="E265" s="2" t="s">
        <v>197</v>
      </c>
      <c r="F265" s="3">
        <f>175</f>
        <v>175</v>
      </c>
    </row>
    <row r="266" spans="1:6" ht="30" x14ac:dyDescent="0.25">
      <c r="A266" s="1" t="s">
        <v>191</v>
      </c>
      <c r="B266" s="2"/>
      <c r="C266" s="2"/>
      <c r="D266" s="2"/>
      <c r="E266" s="2" t="s">
        <v>198</v>
      </c>
      <c r="F266" s="3">
        <f>175</f>
        <v>175</v>
      </c>
    </row>
    <row r="267" spans="1:6" ht="30" x14ac:dyDescent="0.25">
      <c r="A267" s="1" t="s">
        <v>191</v>
      </c>
      <c r="B267" s="2"/>
      <c r="C267" s="2"/>
      <c r="D267" s="2"/>
      <c r="E267" s="2" t="s">
        <v>199</v>
      </c>
      <c r="F267" s="3">
        <f>175</f>
        <v>175</v>
      </c>
    </row>
    <row r="268" spans="1:6" ht="30" x14ac:dyDescent="0.25">
      <c r="A268" s="1" t="s">
        <v>191</v>
      </c>
      <c r="B268" s="2"/>
      <c r="C268" s="2"/>
      <c r="D268" s="2"/>
      <c r="E268" s="2" t="s">
        <v>200</v>
      </c>
      <c r="F268" s="3">
        <f>175</f>
        <v>175</v>
      </c>
    </row>
    <row r="269" spans="1:6" ht="30" x14ac:dyDescent="0.25">
      <c r="A269" s="1" t="s">
        <v>191</v>
      </c>
      <c r="B269" s="2"/>
      <c r="C269" s="2"/>
      <c r="D269" s="2"/>
      <c r="E269" s="2" t="s">
        <v>201</v>
      </c>
      <c r="F269" s="3">
        <f>175</f>
        <v>175</v>
      </c>
    </row>
    <row r="270" spans="1:6" ht="30" x14ac:dyDescent="0.25">
      <c r="A270" s="1" t="s">
        <v>191</v>
      </c>
      <c r="B270" s="2"/>
      <c r="C270" s="2"/>
      <c r="D270" s="2"/>
      <c r="E270" s="2" t="s">
        <v>202</v>
      </c>
      <c r="F270" s="3">
        <f>175</f>
        <v>175</v>
      </c>
    </row>
    <row r="271" spans="1:6" ht="30" x14ac:dyDescent="0.25">
      <c r="A271" s="1" t="s">
        <v>191</v>
      </c>
      <c r="B271" s="2"/>
      <c r="C271" s="2"/>
      <c r="D271" s="2"/>
      <c r="E271" s="2" t="s">
        <v>203</v>
      </c>
      <c r="F271" s="3">
        <f>175</f>
        <v>175</v>
      </c>
    </row>
    <row r="272" spans="1:6" ht="30" x14ac:dyDescent="0.25">
      <c r="A272" s="1" t="s">
        <v>191</v>
      </c>
      <c r="B272" s="2"/>
      <c r="C272" s="2"/>
      <c r="D272" s="2"/>
      <c r="E272" s="2" t="s">
        <v>204</v>
      </c>
      <c r="F272" s="3">
        <f>175</f>
        <v>175</v>
      </c>
    </row>
    <row r="273" spans="1:6" ht="30" x14ac:dyDescent="0.25">
      <c r="A273" s="1" t="s">
        <v>191</v>
      </c>
      <c r="B273" s="2"/>
      <c r="C273" s="2"/>
      <c r="D273" s="2"/>
      <c r="E273" s="2" t="s">
        <v>205</v>
      </c>
      <c r="F273" s="3">
        <f>175</f>
        <v>175</v>
      </c>
    </row>
    <row r="274" spans="1:6" ht="30" x14ac:dyDescent="0.25">
      <c r="A274" s="1" t="s">
        <v>191</v>
      </c>
      <c r="B274" s="2"/>
      <c r="C274" s="2"/>
      <c r="D274" s="2"/>
      <c r="E274" s="2" t="s">
        <v>206</v>
      </c>
      <c r="F274" s="3">
        <f>175</f>
        <v>175</v>
      </c>
    </row>
    <row r="275" spans="1:6" ht="30" x14ac:dyDescent="0.25">
      <c r="A275" s="1" t="s">
        <v>191</v>
      </c>
      <c r="B275" s="2"/>
      <c r="C275" s="2"/>
      <c r="D275" s="2"/>
      <c r="E275" s="2" t="s">
        <v>207</v>
      </c>
      <c r="F275" s="3">
        <f>175</f>
        <v>175</v>
      </c>
    </row>
    <row r="276" spans="1:6" ht="30" x14ac:dyDescent="0.25">
      <c r="A276" s="1" t="s">
        <v>191</v>
      </c>
      <c r="B276" s="2"/>
      <c r="C276" s="2"/>
      <c r="D276" s="2"/>
      <c r="E276" s="2" t="s">
        <v>208</v>
      </c>
      <c r="F276" s="3">
        <f>175</f>
        <v>175</v>
      </c>
    </row>
    <row r="277" spans="1:6" ht="30" x14ac:dyDescent="0.25">
      <c r="A277" s="1" t="s">
        <v>191</v>
      </c>
      <c r="B277" s="2"/>
      <c r="C277" s="2"/>
      <c r="D277" s="2"/>
      <c r="E277" s="2" t="s">
        <v>209</v>
      </c>
      <c r="F277" s="3">
        <f>175</f>
        <v>175</v>
      </c>
    </row>
    <row r="278" spans="1:6" ht="30" x14ac:dyDescent="0.25">
      <c r="A278" s="1" t="s">
        <v>191</v>
      </c>
      <c r="B278" s="2"/>
      <c r="C278" s="2"/>
      <c r="D278" s="2"/>
      <c r="E278" s="2" t="s">
        <v>210</v>
      </c>
      <c r="F278" s="3">
        <f>175</f>
        <v>175</v>
      </c>
    </row>
    <row r="279" spans="1:6" ht="30" x14ac:dyDescent="0.25">
      <c r="A279" s="1" t="s">
        <v>191</v>
      </c>
      <c r="B279" s="2"/>
      <c r="C279" s="2"/>
      <c r="D279" s="2"/>
      <c r="E279" s="2" t="s">
        <v>211</v>
      </c>
      <c r="F279" s="3">
        <f>175</f>
        <v>175</v>
      </c>
    </row>
    <row r="280" spans="1:6" ht="30" x14ac:dyDescent="0.25">
      <c r="A280" s="1" t="s">
        <v>191</v>
      </c>
      <c r="B280" s="2"/>
      <c r="C280" s="2"/>
      <c r="D280" s="2"/>
      <c r="E280" s="2" t="s">
        <v>212</v>
      </c>
      <c r="F280" s="3">
        <f>175</f>
        <v>175</v>
      </c>
    </row>
    <row r="281" spans="1:6" ht="30" x14ac:dyDescent="0.25">
      <c r="A281" s="1" t="s">
        <v>191</v>
      </c>
      <c r="B281" s="2"/>
      <c r="C281" s="2"/>
      <c r="D281" s="2"/>
      <c r="E281" s="2" t="s">
        <v>213</v>
      </c>
      <c r="F281" s="3">
        <f>175</f>
        <v>175</v>
      </c>
    </row>
    <row r="282" spans="1:6" ht="30" x14ac:dyDescent="0.25">
      <c r="A282" s="1" t="s">
        <v>191</v>
      </c>
      <c r="B282" s="2"/>
      <c r="C282" s="2"/>
      <c r="D282" s="2"/>
      <c r="E282" s="2" t="s">
        <v>214</v>
      </c>
      <c r="F282" s="3">
        <f>175</f>
        <v>175</v>
      </c>
    </row>
    <row r="283" spans="1:6" ht="30" x14ac:dyDescent="0.25">
      <c r="A283" s="1" t="s">
        <v>191</v>
      </c>
      <c r="B283" s="2"/>
      <c r="C283" s="2"/>
      <c r="D283" s="2"/>
      <c r="E283" s="2" t="s">
        <v>215</v>
      </c>
      <c r="F283" s="3">
        <f>175</f>
        <v>175</v>
      </c>
    </row>
    <row r="284" spans="1:6" ht="30" x14ac:dyDescent="0.25">
      <c r="A284" s="1" t="s">
        <v>191</v>
      </c>
      <c r="B284" s="2"/>
      <c r="C284" s="2"/>
      <c r="D284" s="2"/>
      <c r="E284" s="2" t="s">
        <v>216</v>
      </c>
      <c r="F284" s="3">
        <f>175</f>
        <v>175</v>
      </c>
    </row>
    <row r="285" spans="1:6" ht="30" x14ac:dyDescent="0.25">
      <c r="A285" s="1" t="s">
        <v>191</v>
      </c>
      <c r="B285" s="2"/>
      <c r="C285" s="2"/>
      <c r="D285" s="2"/>
      <c r="E285" s="2" t="s">
        <v>217</v>
      </c>
      <c r="F285" s="3">
        <f>175</f>
        <v>175</v>
      </c>
    </row>
    <row r="286" spans="1:6" ht="30" x14ac:dyDescent="0.25">
      <c r="A286" s="1" t="s">
        <v>191</v>
      </c>
      <c r="B286" s="2"/>
      <c r="C286" s="2"/>
      <c r="D286" s="2"/>
      <c r="E286" s="2" t="s">
        <v>218</v>
      </c>
      <c r="F286" s="3">
        <f>175</f>
        <v>175</v>
      </c>
    </row>
    <row r="287" spans="1:6" ht="30" x14ac:dyDescent="0.25">
      <c r="A287" s="1" t="s">
        <v>191</v>
      </c>
      <c r="B287" s="2"/>
      <c r="C287" s="2"/>
      <c r="D287" s="2"/>
      <c r="E287" s="2" t="s">
        <v>219</v>
      </c>
      <c r="F287" s="3">
        <f>175</f>
        <v>175</v>
      </c>
    </row>
    <row r="288" spans="1:6" ht="30" x14ac:dyDescent="0.25">
      <c r="A288" s="1" t="s">
        <v>191</v>
      </c>
      <c r="B288" s="2"/>
      <c r="C288" s="2"/>
      <c r="D288" s="2"/>
      <c r="E288" s="2" t="s">
        <v>220</v>
      </c>
      <c r="F288" s="3">
        <f>175</f>
        <v>175</v>
      </c>
    </row>
    <row r="289" spans="1:6" ht="30" x14ac:dyDescent="0.25">
      <c r="A289" s="1" t="s">
        <v>191</v>
      </c>
      <c r="B289" s="2"/>
      <c r="C289" s="2"/>
      <c r="D289" s="2"/>
      <c r="E289" s="2" t="s">
        <v>221</v>
      </c>
      <c r="F289" s="3">
        <f>175</f>
        <v>175</v>
      </c>
    </row>
    <row r="290" spans="1:6" ht="30" x14ac:dyDescent="0.25">
      <c r="A290" s="1" t="s">
        <v>222</v>
      </c>
      <c r="B290" s="2"/>
      <c r="C290" s="2" t="s">
        <v>223</v>
      </c>
      <c r="D290" s="2"/>
      <c r="E290" s="2"/>
      <c r="F290" s="3">
        <v>19256</v>
      </c>
    </row>
    <row r="291" spans="1:6" ht="30" x14ac:dyDescent="0.25">
      <c r="A291" s="1" t="s">
        <v>222</v>
      </c>
      <c r="B291" s="2"/>
      <c r="C291" s="2" t="s">
        <v>224</v>
      </c>
      <c r="D291" s="2"/>
      <c r="E291" s="2"/>
      <c r="F291" s="3">
        <v>19256</v>
      </c>
    </row>
    <row r="292" spans="1:6" ht="30" x14ac:dyDescent="0.25">
      <c r="A292" s="1" t="s">
        <v>222</v>
      </c>
      <c r="B292" s="2"/>
      <c r="C292" s="2" t="s">
        <v>225</v>
      </c>
      <c r="D292" s="2"/>
      <c r="E292" s="2"/>
      <c r="F292" s="3">
        <v>19256</v>
      </c>
    </row>
    <row r="293" spans="1:6" ht="30" x14ac:dyDescent="0.25">
      <c r="A293" s="1" t="s">
        <v>222</v>
      </c>
      <c r="B293" s="2"/>
      <c r="C293" s="2" t="s">
        <v>90</v>
      </c>
      <c r="D293" s="2"/>
      <c r="E293" s="2"/>
      <c r="F293" s="3">
        <v>19256</v>
      </c>
    </row>
    <row r="294" spans="1:6" ht="30" x14ac:dyDescent="0.25">
      <c r="A294" s="1" t="s">
        <v>222</v>
      </c>
      <c r="B294" s="2"/>
      <c r="C294" s="2" t="s">
        <v>89</v>
      </c>
      <c r="D294" s="2"/>
      <c r="E294" s="2"/>
      <c r="F294" s="3">
        <v>19256</v>
      </c>
    </row>
    <row r="295" spans="1:6" ht="30" x14ac:dyDescent="0.25">
      <c r="A295" s="1" t="s">
        <v>222</v>
      </c>
      <c r="B295" s="2"/>
      <c r="C295" s="2" t="s">
        <v>120</v>
      </c>
      <c r="D295" s="2"/>
      <c r="E295" s="2"/>
      <c r="F295" s="3">
        <v>19256</v>
      </c>
    </row>
    <row r="296" spans="1:6" ht="30" x14ac:dyDescent="0.25">
      <c r="A296" s="1" t="s">
        <v>222</v>
      </c>
      <c r="B296" s="2"/>
      <c r="C296" s="2" t="s">
        <v>226</v>
      </c>
      <c r="D296" s="2"/>
      <c r="E296" s="2"/>
      <c r="F296" s="3">
        <v>19256</v>
      </c>
    </row>
    <row r="297" spans="1:6" ht="30" x14ac:dyDescent="0.25">
      <c r="A297" s="1" t="s">
        <v>222</v>
      </c>
      <c r="B297" s="2"/>
      <c r="C297" s="2" t="s">
        <v>103</v>
      </c>
      <c r="D297" s="2"/>
      <c r="E297" s="2"/>
      <c r="F297" s="3">
        <v>19256</v>
      </c>
    </row>
    <row r="298" spans="1:6" ht="30" x14ac:dyDescent="0.25">
      <c r="A298" s="1" t="s">
        <v>222</v>
      </c>
      <c r="B298" s="2"/>
      <c r="C298" s="2" t="s">
        <v>92</v>
      </c>
      <c r="D298" s="2"/>
      <c r="E298" s="2"/>
      <c r="F298" s="3">
        <v>19256</v>
      </c>
    </row>
    <row r="299" spans="1:6" ht="30" x14ac:dyDescent="0.25">
      <c r="A299" s="1" t="s">
        <v>222</v>
      </c>
      <c r="B299" s="2"/>
      <c r="C299" s="2" t="s">
        <v>227</v>
      </c>
      <c r="D299" s="2"/>
      <c r="E299" s="2"/>
      <c r="F299" s="3">
        <v>19256</v>
      </c>
    </row>
    <row r="300" spans="1:6" ht="30" x14ac:dyDescent="0.25">
      <c r="A300" s="1" t="s">
        <v>222</v>
      </c>
      <c r="B300" s="2"/>
      <c r="C300" s="2" t="s">
        <v>228</v>
      </c>
      <c r="D300" s="2"/>
      <c r="E300" s="2"/>
      <c r="F300" s="3">
        <v>19256</v>
      </c>
    </row>
    <row r="301" spans="1:6" ht="30" x14ac:dyDescent="0.25">
      <c r="A301" s="1" t="s">
        <v>222</v>
      </c>
      <c r="B301" s="2"/>
      <c r="C301" s="2" t="s">
        <v>229</v>
      </c>
      <c r="D301" s="2"/>
      <c r="E301" s="2"/>
      <c r="F301" s="3">
        <v>19256</v>
      </c>
    </row>
    <row r="302" spans="1:6" ht="30" x14ac:dyDescent="0.25">
      <c r="A302" s="1" t="s">
        <v>222</v>
      </c>
      <c r="B302" s="2"/>
      <c r="C302" s="2" t="s">
        <v>105</v>
      </c>
      <c r="D302" s="2"/>
      <c r="E302" s="2"/>
      <c r="F302" s="3">
        <v>19256</v>
      </c>
    </row>
    <row r="303" spans="1:6" ht="30" x14ac:dyDescent="0.25">
      <c r="A303" s="1" t="s">
        <v>222</v>
      </c>
      <c r="B303" s="2"/>
      <c r="C303" s="2" t="s">
        <v>91</v>
      </c>
      <c r="D303" s="2"/>
      <c r="E303" s="2"/>
      <c r="F303" s="3">
        <v>19256</v>
      </c>
    </row>
    <row r="304" spans="1:6" x14ac:dyDescent="0.25">
      <c r="A304" s="1" t="s">
        <v>230</v>
      </c>
      <c r="B304" s="2">
        <v>1</v>
      </c>
      <c r="C304" s="2"/>
      <c r="D304" s="2"/>
      <c r="E304" s="2"/>
      <c r="F304" s="3">
        <f>135000/9</f>
        <v>15000</v>
      </c>
    </row>
    <row r="305" spans="1:6" x14ac:dyDescent="0.25">
      <c r="A305" s="1" t="s">
        <v>230</v>
      </c>
      <c r="B305" s="2">
        <v>2</v>
      </c>
      <c r="C305" s="2"/>
      <c r="D305" s="2"/>
      <c r="E305" s="2"/>
      <c r="F305" s="3">
        <f t="shared" ref="F305:F312" si="2">135000/9</f>
        <v>15000</v>
      </c>
    </row>
    <row r="306" spans="1:6" x14ac:dyDescent="0.25">
      <c r="A306" s="1" t="s">
        <v>230</v>
      </c>
      <c r="B306" s="2">
        <v>3</v>
      </c>
      <c r="C306" s="2"/>
      <c r="D306" s="2"/>
      <c r="E306" s="2"/>
      <c r="F306" s="3">
        <f t="shared" si="2"/>
        <v>15000</v>
      </c>
    </row>
    <row r="307" spans="1:6" x14ac:dyDescent="0.25">
      <c r="A307" s="1" t="s">
        <v>230</v>
      </c>
      <c r="B307" s="2">
        <v>4</v>
      </c>
      <c r="C307" s="2"/>
      <c r="D307" s="2"/>
      <c r="E307" s="2"/>
      <c r="F307" s="3">
        <f t="shared" si="2"/>
        <v>15000</v>
      </c>
    </row>
    <row r="308" spans="1:6" x14ac:dyDescent="0.25">
      <c r="A308" s="1" t="s">
        <v>230</v>
      </c>
      <c r="B308" s="2">
        <v>5</v>
      </c>
      <c r="C308" s="2"/>
      <c r="D308" s="2"/>
      <c r="E308" s="2"/>
      <c r="F308" s="3">
        <f t="shared" si="2"/>
        <v>15000</v>
      </c>
    </row>
    <row r="309" spans="1:6" x14ac:dyDescent="0.25">
      <c r="A309" s="1" t="s">
        <v>230</v>
      </c>
      <c r="B309" s="2">
        <v>6</v>
      </c>
      <c r="C309" s="2"/>
      <c r="D309" s="2"/>
      <c r="E309" s="2"/>
      <c r="F309" s="3">
        <f t="shared" si="2"/>
        <v>15000</v>
      </c>
    </row>
    <row r="310" spans="1:6" x14ac:dyDescent="0.25">
      <c r="A310" s="1" t="s">
        <v>230</v>
      </c>
      <c r="B310" s="2">
        <v>7</v>
      </c>
      <c r="C310" s="2"/>
      <c r="D310" s="2"/>
      <c r="E310" s="2"/>
      <c r="F310" s="3">
        <f t="shared" si="2"/>
        <v>15000</v>
      </c>
    </row>
    <row r="311" spans="1:6" x14ac:dyDescent="0.25">
      <c r="A311" s="1" t="s">
        <v>230</v>
      </c>
      <c r="B311" s="2">
        <v>8</v>
      </c>
      <c r="C311" s="2"/>
      <c r="D311" s="2"/>
      <c r="E311" s="2"/>
      <c r="F311" s="3">
        <f t="shared" si="2"/>
        <v>15000</v>
      </c>
    </row>
    <row r="312" spans="1:6" x14ac:dyDescent="0.25">
      <c r="A312" s="1" t="s">
        <v>230</v>
      </c>
      <c r="B312" s="2">
        <v>9</v>
      </c>
      <c r="C312" s="2"/>
      <c r="D312" s="2"/>
      <c r="E312" s="2"/>
      <c r="F312" s="3">
        <f t="shared" si="2"/>
        <v>15000</v>
      </c>
    </row>
    <row r="313" spans="1:6" ht="30" x14ac:dyDescent="0.25">
      <c r="A313" s="1" t="s">
        <v>231</v>
      </c>
      <c r="B313" s="2"/>
      <c r="C313" s="2"/>
      <c r="D313" s="2"/>
      <c r="E313" s="2" t="s">
        <v>232</v>
      </c>
      <c r="F313" s="3">
        <f>250*20</f>
        <v>5000</v>
      </c>
    </row>
    <row r="314" spans="1:6" ht="30" x14ac:dyDescent="0.25">
      <c r="A314" s="1" t="s">
        <v>231</v>
      </c>
      <c r="B314" s="2"/>
      <c r="C314" s="2"/>
      <c r="D314" s="2"/>
      <c r="E314" s="2" t="s">
        <v>233</v>
      </c>
      <c r="F314" s="3">
        <f>250*35</f>
        <v>8750</v>
      </c>
    </row>
    <row r="315" spans="1:6" ht="30" x14ac:dyDescent="0.25">
      <c r="A315" s="1" t="s">
        <v>234</v>
      </c>
      <c r="B315" s="2"/>
      <c r="C315" s="2"/>
      <c r="D315" s="2"/>
      <c r="E315" s="2" t="s">
        <v>235</v>
      </c>
      <c r="F315" s="3">
        <f>14500*5</f>
        <v>72500</v>
      </c>
    </row>
    <row r="316" spans="1:6" ht="30" x14ac:dyDescent="0.25">
      <c r="A316" s="1" t="s">
        <v>234</v>
      </c>
      <c r="B316" s="2"/>
      <c r="C316" s="2"/>
      <c r="D316" s="2"/>
      <c r="E316" s="2" t="s">
        <v>236</v>
      </c>
      <c r="F316" s="3">
        <v>200000</v>
      </c>
    </row>
    <row r="317" spans="1:6" ht="30" x14ac:dyDescent="0.25">
      <c r="A317" s="1" t="s">
        <v>234</v>
      </c>
      <c r="B317" s="2"/>
      <c r="C317" s="2"/>
      <c r="D317" s="2"/>
      <c r="E317" s="2" t="s">
        <v>237</v>
      </c>
      <c r="F317" s="3">
        <v>300000</v>
      </c>
    </row>
    <row r="318" spans="1:6" ht="30" x14ac:dyDescent="0.25">
      <c r="A318" s="1" t="s">
        <v>238</v>
      </c>
      <c r="B318" s="2"/>
      <c r="C318" s="2" t="s">
        <v>22</v>
      </c>
      <c r="D318" s="2"/>
      <c r="E318" s="2"/>
      <c r="F318" s="3">
        <v>72000</v>
      </c>
    </row>
    <row r="319" spans="1:6" ht="30" x14ac:dyDescent="0.25">
      <c r="A319" s="1" t="s">
        <v>238</v>
      </c>
      <c r="B319" s="2"/>
      <c r="C319" s="2" t="s">
        <v>14</v>
      </c>
      <c r="D319" s="2"/>
      <c r="E319" s="2"/>
      <c r="F319" s="3">
        <v>72000</v>
      </c>
    </row>
    <row r="320" spans="1:6" ht="30" x14ac:dyDescent="0.25">
      <c r="A320" s="1" t="s">
        <v>238</v>
      </c>
      <c r="B320" s="2"/>
      <c r="C320" s="2" t="s">
        <v>132</v>
      </c>
      <c r="D320" s="2"/>
      <c r="E320" s="2"/>
      <c r="F320" s="3">
        <v>72000</v>
      </c>
    </row>
    <row r="321" spans="1:6" ht="30" x14ac:dyDescent="0.25">
      <c r="A321" s="4" t="s">
        <v>245</v>
      </c>
      <c r="F321" s="5">
        <v>14500</v>
      </c>
    </row>
    <row r="322" spans="1:6" x14ac:dyDescent="0.25">
      <c r="A322" s="4" t="s">
        <v>246</v>
      </c>
      <c r="F322" s="5">
        <v>18500</v>
      </c>
    </row>
    <row r="323" spans="1:6" ht="45" x14ac:dyDescent="0.25">
      <c r="A323" s="4" t="s">
        <v>247</v>
      </c>
      <c r="F323" s="5">
        <v>14500</v>
      </c>
    </row>
    <row r="324" spans="1:6" ht="30" x14ac:dyDescent="0.25">
      <c r="A324" s="11" t="s">
        <v>248</v>
      </c>
      <c r="D324" t="s">
        <v>20</v>
      </c>
      <c r="F324" s="5">
        <v>27000</v>
      </c>
    </row>
    <row r="325" spans="1:6" ht="30" x14ac:dyDescent="0.25">
      <c r="A325" s="11" t="s">
        <v>248</v>
      </c>
      <c r="D325" t="s">
        <v>137</v>
      </c>
      <c r="F325" s="5">
        <v>18000</v>
      </c>
    </row>
    <row r="326" spans="1:6" ht="30" x14ac:dyDescent="0.25">
      <c r="A326" s="11" t="s">
        <v>249</v>
      </c>
      <c r="F326" s="5">
        <v>12500</v>
      </c>
    </row>
    <row r="327" spans="1:6" ht="30" x14ac:dyDescent="0.25">
      <c r="A327" s="11" t="s">
        <v>250</v>
      </c>
      <c r="F327" s="5">
        <v>14500</v>
      </c>
    </row>
    <row r="328" spans="1:6" ht="30" x14ac:dyDescent="0.25">
      <c r="A328" s="11" t="s">
        <v>251</v>
      </c>
      <c r="D328" t="s">
        <v>264</v>
      </c>
      <c r="F328" s="5">
        <v>8500</v>
      </c>
    </row>
    <row r="329" spans="1:6" ht="30" x14ac:dyDescent="0.25">
      <c r="A329" s="11" t="s">
        <v>251</v>
      </c>
      <c r="D329" t="s">
        <v>265</v>
      </c>
      <c r="F329" s="5">
        <v>21000</v>
      </c>
    </row>
    <row r="330" spans="1:6" ht="30" x14ac:dyDescent="0.25">
      <c r="A330" s="11" t="s">
        <v>251</v>
      </c>
      <c r="D330" t="s">
        <v>266</v>
      </c>
      <c r="F330" s="5">
        <v>39000</v>
      </c>
    </row>
    <row r="331" spans="1:6" ht="45" x14ac:dyDescent="0.25">
      <c r="A331" s="11" t="s">
        <v>252</v>
      </c>
      <c r="D331" t="s">
        <v>267</v>
      </c>
      <c r="F331" s="5">
        <v>14500</v>
      </c>
    </row>
    <row r="332" spans="1:6" ht="45" x14ac:dyDescent="0.25">
      <c r="A332" s="11" t="s">
        <v>252</v>
      </c>
      <c r="D332" t="s">
        <v>268</v>
      </c>
      <c r="F332" s="5">
        <v>12500</v>
      </c>
    </row>
    <row r="333" spans="1:6" ht="45" x14ac:dyDescent="0.25">
      <c r="A333" s="11" t="s">
        <v>252</v>
      </c>
      <c r="D333" t="s">
        <v>269</v>
      </c>
      <c r="F333" s="5">
        <v>21000</v>
      </c>
    </row>
    <row r="334" spans="1:6" ht="45" x14ac:dyDescent="0.25">
      <c r="A334" s="11" t="s">
        <v>252</v>
      </c>
      <c r="D334" t="s">
        <v>270</v>
      </c>
      <c r="F334" s="5">
        <v>8500</v>
      </c>
    </row>
    <row r="335" spans="1:6" ht="45" x14ac:dyDescent="0.25">
      <c r="A335" s="11" t="s">
        <v>253</v>
      </c>
      <c r="F335" s="5">
        <v>14500</v>
      </c>
    </row>
    <row r="336" spans="1:6" ht="30" x14ac:dyDescent="0.25">
      <c r="A336" s="11" t="s">
        <v>254</v>
      </c>
      <c r="F336" s="5">
        <v>14500</v>
      </c>
    </row>
    <row r="337" spans="1:6" ht="30" x14ac:dyDescent="0.25">
      <c r="A337" s="11" t="s">
        <v>255</v>
      </c>
      <c r="F337" s="5">
        <v>19000</v>
      </c>
    </row>
    <row r="338" spans="1:6" ht="45" x14ac:dyDescent="0.25">
      <c r="A338" s="11" t="s">
        <v>256</v>
      </c>
      <c r="B338" t="s">
        <v>271</v>
      </c>
      <c r="D338" t="s">
        <v>269</v>
      </c>
      <c r="F338" s="5">
        <v>26000</v>
      </c>
    </row>
    <row r="339" spans="1:6" ht="45" x14ac:dyDescent="0.25">
      <c r="A339" s="11" t="s">
        <v>256</v>
      </c>
      <c r="B339" t="s">
        <v>272</v>
      </c>
      <c r="D339" t="s">
        <v>269</v>
      </c>
      <c r="F339" s="5">
        <v>24000</v>
      </c>
    </row>
    <row r="340" spans="1:6" ht="45" x14ac:dyDescent="0.25">
      <c r="A340" s="11" t="s">
        <v>256</v>
      </c>
      <c r="B340" t="s">
        <v>273</v>
      </c>
      <c r="D340" t="s">
        <v>269</v>
      </c>
      <c r="F340" s="5">
        <v>18000</v>
      </c>
    </row>
    <row r="341" spans="1:6" ht="45" x14ac:dyDescent="0.25">
      <c r="A341" s="11" t="s">
        <v>256</v>
      </c>
      <c r="B341" t="s">
        <v>273</v>
      </c>
      <c r="D341" t="s">
        <v>267</v>
      </c>
      <c r="F341" s="5">
        <v>14500</v>
      </c>
    </row>
    <row r="342" spans="1:6" ht="45" x14ac:dyDescent="0.25">
      <c r="A342" s="11" t="s">
        <v>256</v>
      </c>
      <c r="B342" t="s">
        <v>273</v>
      </c>
      <c r="D342" t="s">
        <v>268</v>
      </c>
      <c r="F342" s="5">
        <v>12500</v>
      </c>
    </row>
    <row r="343" spans="1:6" ht="30" x14ac:dyDescent="0.25">
      <c r="A343" s="11" t="s">
        <v>257</v>
      </c>
      <c r="D343" t="s">
        <v>269</v>
      </c>
      <c r="F343" s="5">
        <v>24000</v>
      </c>
    </row>
    <row r="344" spans="1:6" ht="30" x14ac:dyDescent="0.25">
      <c r="A344" s="11" t="s">
        <v>257</v>
      </c>
      <c r="D344" t="s">
        <v>274</v>
      </c>
      <c r="F344" s="5">
        <v>39000</v>
      </c>
    </row>
    <row r="345" spans="1:6" ht="30" x14ac:dyDescent="0.25">
      <c r="A345" s="11" t="s">
        <v>258</v>
      </c>
      <c r="F345" s="5">
        <v>28000</v>
      </c>
    </row>
    <row r="346" spans="1:6" ht="30" x14ac:dyDescent="0.25">
      <c r="A346" s="11" t="s">
        <v>259</v>
      </c>
      <c r="F346" s="5">
        <v>26000</v>
      </c>
    </row>
    <row r="347" spans="1:6" ht="60" x14ac:dyDescent="0.25">
      <c r="A347" s="11" t="s">
        <v>260</v>
      </c>
      <c r="F347" s="5">
        <v>75000</v>
      </c>
    </row>
    <row r="348" spans="1:6" ht="45" x14ac:dyDescent="0.25">
      <c r="A348" s="11" t="s">
        <v>261</v>
      </c>
      <c r="F348" s="5">
        <v>7200</v>
      </c>
    </row>
    <row r="349" spans="1:6" ht="30" x14ac:dyDescent="0.25">
      <c r="A349" s="11" t="s">
        <v>262</v>
      </c>
      <c r="F349" s="5">
        <v>14000</v>
      </c>
    </row>
    <row r="350" spans="1:6" ht="45" x14ac:dyDescent="0.25">
      <c r="A350" s="11" t="s">
        <v>263</v>
      </c>
      <c r="F350" s="5">
        <v>75000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Yogi Saputra</cp:lastModifiedBy>
  <dcterms:created xsi:type="dcterms:W3CDTF">2025-10-27T03:58:52Z</dcterms:created>
  <dcterms:modified xsi:type="dcterms:W3CDTF">2026-02-09T07:48:55Z</dcterms:modified>
</cp:coreProperties>
</file>